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6440" tabRatio="600" firstSheet="0" activeTab="0" autoFilterDateGrouping="1"/>
  </bookViews>
  <sheets>
    <sheet name="SALES TRACKER" sheetId="1" state="visible" r:id="rId1"/>
    <sheet name="Sheet1" sheetId="2" state="visible" r:id="rId2"/>
    <sheet name="INVENTORY" sheetId="3" state="visible" r:id="rId3"/>
    <sheet name="CANCELLED ORDERS" sheetId="4" state="visible" r:id="rId4"/>
    <sheet name="JL FORECAST" sheetId="5" state="visible" r:id="rId5"/>
  </sheets>
  <definedNames>
    <definedName name="_xlnm._FilterDatabase" localSheetId="2" hidden="1">'INVENTORY'!$A$1:$J$31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[$£-809]* #,##0.00_-;\-[$£-809]* #,##0.00_-;_-[$£-809]* &quot;-&quot;??_-;_-@_-"/>
    <numFmt numFmtId="165" formatCode="0.0%"/>
  </numFmts>
  <fonts count="1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color theme="1"/>
      <sz val="14"/>
      <scheme val="minor"/>
    </font>
    <font>
      <name val="Aptos Narrow"/>
      <family val="2"/>
      <color rgb="FF000000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56585B"/>
      <sz val="12"/>
    </font>
    <font>
      <name val="Calibri"/>
      <family val="2"/>
      <color rgb="FF000000"/>
      <sz val="12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b val="1"/>
      <color theme="0"/>
      <sz val="11"/>
    </font>
    <font>
      <name val="Aptos Narrow"/>
      <family val="2"/>
      <b val="1"/>
      <color theme="1"/>
      <sz val="12"/>
      <scheme val="minor"/>
    </font>
    <font>
      <name val="Aptos"/>
      <family val="2"/>
      <color rgb="FF000000"/>
      <sz val="12"/>
    </font>
  </fonts>
  <fills count="2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8E5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2" tint="-0.09997863704336681"/>
        <bgColor rgb="FFD9D9D9"/>
      </patternFill>
    </fill>
    <fill>
      <patternFill patternType="solid">
        <fgColor theme="1" tint="0.499893185216834"/>
        <bgColor rgb="FF969696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3" fillId="2" borderId="1" pivotButton="0" quotePrefix="0" xfId="0"/>
    <xf numFmtId="0" fontId="3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pivotButton="0" quotePrefix="0" xfId="0"/>
    <xf numFmtId="2" fontId="0" fillId="0" borderId="1" applyAlignment="1" pivotButton="0" quotePrefix="0" xfId="0">
      <alignment horizontal="center"/>
    </xf>
    <xf numFmtId="0" fontId="3" fillId="4" borderId="1" pivotButton="0" quotePrefix="0" xfId="0"/>
    <xf numFmtId="0" fontId="3" fillId="0" borderId="0" pivotButton="0" quotePrefix="0" xfId="0"/>
    <xf numFmtId="0" fontId="3" fillId="2" borderId="2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2" fillId="7" borderId="5" pivotButton="0" quotePrefix="0" xfId="0"/>
    <xf numFmtId="0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5" fillId="8" borderId="0" pivotButton="0" quotePrefix="0" xfId="0"/>
    <xf numFmtId="0" fontId="5" fillId="8" borderId="0" applyAlignment="1" pivotButton="0" quotePrefix="0" xfId="0">
      <alignment horizontal="center"/>
    </xf>
    <xf numFmtId="0" fontId="6" fillId="0" borderId="0" pivotButton="0" quotePrefix="0" xfId="0"/>
    <xf numFmtId="164" fontId="0" fillId="0" borderId="1" applyAlignment="1" pivotButton="0" quotePrefix="0" xfId="0">
      <alignment horizontal="center"/>
    </xf>
    <xf numFmtId="164" fontId="2" fillId="7" borderId="0" applyAlignment="1" pivotButton="0" quotePrefix="0" xfId="0">
      <alignment horizontal="center"/>
    </xf>
    <xf numFmtId="164" fontId="5" fillId="8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3" fillId="6" borderId="4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11" borderId="2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5" fontId="0" fillId="0" borderId="1" applyAlignment="1" pivotButton="0" quotePrefix="0" xfId="1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2" fillId="12" borderId="6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0" fontId="3" fillId="11" borderId="7" pivotButton="0" quotePrefix="0" xfId="0"/>
    <xf numFmtId="0" fontId="0" fillId="11" borderId="8" applyAlignment="1" pivotButton="0" quotePrefix="0" xfId="0">
      <alignment horizontal="center"/>
    </xf>
    <xf numFmtId="0" fontId="0" fillId="11" borderId="9" applyAlignment="1" pivotButton="0" quotePrefix="0" xfId="0">
      <alignment horizontal="center"/>
    </xf>
    <xf numFmtId="0" fontId="0" fillId="11" borderId="10" applyAlignment="1" pivotButton="0" quotePrefix="0" xfId="0">
      <alignment horizontal="center"/>
    </xf>
    <xf numFmtId="0" fontId="3" fillId="4" borderId="7" pivotButton="0" quotePrefix="0" xfId="0"/>
    <xf numFmtId="0" fontId="0" fillId="4" borderId="8" applyAlignment="1" pivotButton="0" quotePrefix="0" xfId="0">
      <alignment horizontal="center"/>
    </xf>
    <xf numFmtId="0" fontId="0" fillId="4" borderId="9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164" fontId="0" fillId="0" borderId="1" applyAlignment="1" pivotButton="0" quotePrefix="0" xfId="0">
      <alignment vertical="center"/>
    </xf>
    <xf numFmtId="164" fontId="3" fillId="3" borderId="1" applyAlignment="1" pivotButton="0" quotePrefix="0" xfId="0">
      <alignment vertical="center"/>
    </xf>
    <xf numFmtId="2" fontId="0" fillId="13" borderId="1" applyAlignment="1" pivotButton="0" quotePrefix="0" xfId="0">
      <alignment horizontal="center"/>
    </xf>
    <xf numFmtId="164" fontId="0" fillId="13" borderId="1" applyAlignment="1" pivotButton="0" quotePrefix="0" xfId="0">
      <alignment horizontal="center"/>
    </xf>
    <xf numFmtId="0" fontId="0" fillId="9" borderId="4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/>
    </xf>
    <xf numFmtId="14" fontId="10" fillId="0" borderId="1" applyAlignment="1" pivotButton="0" quotePrefix="0" xfId="0">
      <alignment horizontal="left"/>
    </xf>
    <xf numFmtId="0" fontId="11" fillId="17" borderId="1" applyAlignment="1" pivotButton="0" quotePrefix="0" xfId="0">
      <alignment horizontal="center"/>
    </xf>
    <xf numFmtId="0" fontId="13" fillId="4" borderId="1" pivotButton="0" quotePrefix="0" xfId="0"/>
    <xf numFmtId="0" fontId="8" fillId="0" borderId="0" pivotButton="0" quotePrefix="0" xfId="0"/>
    <xf numFmtId="0" fontId="13" fillId="2" borderId="1" pivotButton="0" quotePrefix="0" xfId="0"/>
    <xf numFmtId="0" fontId="8" fillId="0" borderId="1" applyAlignment="1" pivotButton="0" quotePrefix="0" xfId="0">
      <alignment horizontal="left"/>
    </xf>
    <xf numFmtId="0" fontId="8" fillId="0" borderId="1" pivotButton="0" quotePrefix="0" xfId="0"/>
    <xf numFmtId="0" fontId="14" fillId="0" borderId="1" applyAlignment="1" pivotButton="0" quotePrefix="0" xfId="0">
      <alignment vertical="center"/>
    </xf>
    <xf numFmtId="0" fontId="14" fillId="16" borderId="1" applyAlignment="1" pivotButton="0" quotePrefix="0" xfId="0">
      <alignment vertical="center"/>
    </xf>
    <xf numFmtId="0" fontId="10" fillId="15" borderId="1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2" fillId="18" borderId="1" applyAlignment="1" pivotButton="0" quotePrefix="0" xfId="0">
      <alignment horizontal="center"/>
    </xf>
    <xf numFmtId="0" fontId="9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12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3" fillId="2" borderId="2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" applyAlignment="1" pivotButton="0" quotePrefix="0" xfId="0">
      <alignment horizontal="left" vertical="center"/>
    </xf>
    <xf numFmtId="0" fontId="10" fillId="1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left" vertical="center"/>
    </xf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F102"/>
  <sheetViews>
    <sheetView tabSelected="1" topLeftCell="A16" zoomScaleNormal="100" workbookViewId="0">
      <selection activeCell="W29" sqref="W29"/>
    </sheetView>
  </sheetViews>
  <sheetFormatPr baseColWidth="8" defaultRowHeight="14.5"/>
  <cols>
    <col width="60.26953125" customWidth="1" min="1" max="1"/>
    <col hidden="1" width="17.453125" customWidth="1" min="2" max="3"/>
    <col hidden="1" width="16.7265625" customWidth="1" min="4" max="4"/>
    <col hidden="1" width="16" customWidth="1" min="5" max="5"/>
    <col hidden="1" width="19.7265625" customWidth="1" min="6" max="6"/>
    <col hidden="1" width="20.7265625" customWidth="1" min="7" max="7"/>
    <col hidden="1" width="16.81640625" customWidth="1" min="8" max="9"/>
    <col hidden="1" width="18.1796875" customWidth="1" min="10" max="10"/>
    <col hidden="1" width="16" customWidth="1" min="11" max="18"/>
    <col width="17.1796875" customWidth="1" min="19" max="19"/>
    <col width="9.1796875" customWidth="1" min="20" max="21"/>
    <col width="16" customWidth="1" min="22" max="22"/>
    <col width="18" customWidth="1" min="23" max="27"/>
    <col width="17.54296875" customWidth="1" min="28" max="28"/>
    <col width="25.453125" customWidth="1" min="29" max="29"/>
    <col width="21.81640625" customWidth="1" min="30" max="30"/>
  </cols>
  <sheetData>
    <row r="2">
      <c r="A2" s="1" t="inlineStr">
        <is>
          <t>PRODUCT DESCRIPTION</t>
        </is>
      </c>
      <c r="B2" s="2" t="inlineStr">
        <is>
          <t>JL RETAILS</t>
        </is>
      </c>
      <c r="C2" s="2" t="inlineStr">
        <is>
          <t>B&amp;Q RETAILS</t>
        </is>
      </c>
      <c r="D2" s="2" t="inlineStr">
        <is>
          <t>TOTAL STOCK</t>
        </is>
      </c>
      <c r="E2" s="2" t="inlineStr">
        <is>
          <t>INVENTORY</t>
        </is>
      </c>
      <c r="F2" s="84" t="inlineStr">
        <is>
          <t>STOCK CHECK 03.08</t>
        </is>
      </c>
    </row>
    <row r="3" ht="15.65" customHeight="1">
      <c r="A3" s="28" t="inlineStr">
        <is>
          <t>Heavy Duty Storage Box - 270L / Taupe</t>
        </is>
      </c>
      <c r="B3" s="5" t="n">
        <v>75</v>
      </c>
      <c r="C3" s="5" t="n">
        <v>59</v>
      </c>
      <c r="D3" s="63" t="n">
        <v>320</v>
      </c>
      <c r="E3" s="63">
        <f>D3-AB21-AB40</f>
        <v/>
      </c>
      <c r="F3" s="12" t="n">
        <v>70</v>
      </c>
    </row>
    <row r="4" ht="15.65" customHeight="1">
      <c r="A4" s="28" t="inlineStr">
        <is>
          <t>Heavy Duty Storage Box - 450L / Taupe</t>
        </is>
      </c>
      <c r="B4" s="5" t="n">
        <v>145</v>
      </c>
      <c r="C4" s="5" t="n">
        <v>129</v>
      </c>
      <c r="D4" s="63" t="n">
        <v>225</v>
      </c>
      <c r="E4" s="63">
        <f>D4-AB22-AB41</f>
        <v/>
      </c>
      <c r="F4" s="12" t="n">
        <v>9</v>
      </c>
    </row>
    <row r="5" ht="15.65" customHeight="1">
      <c r="A5" s="29" t="inlineStr">
        <is>
          <t>Heavy Duty Storage Box - 680L / Black</t>
        </is>
      </c>
      <c r="B5" s="5" t="n">
        <v>175</v>
      </c>
      <c r="C5" s="5" t="n">
        <v>149</v>
      </c>
      <c r="D5" s="63" t="n">
        <v>166</v>
      </c>
      <c r="E5" s="63">
        <f>D5-AB23-AB42</f>
        <v/>
      </c>
      <c r="F5" s="12" t="n">
        <v>26</v>
      </c>
    </row>
    <row r="6" ht="15.65" customHeight="1">
      <c r="A6" s="28" t="inlineStr">
        <is>
          <t>Heavy Duty Storage Box - 680L / Taupe</t>
        </is>
      </c>
      <c r="B6" s="5" t="n">
        <v>175</v>
      </c>
      <c r="C6" s="5" t="n">
        <v>149</v>
      </c>
      <c r="D6" s="63" t="n">
        <v>260</v>
      </c>
      <c r="E6" s="63">
        <f>D6-AB24-AB43</f>
        <v/>
      </c>
      <c r="F6" s="12" t="n">
        <v>1</v>
      </c>
    </row>
    <row r="7" ht="15.65" customHeight="1">
      <c r="A7" s="29" t="inlineStr">
        <is>
          <t>Heavy Duty Storage Box - 870L / Black</t>
        </is>
      </c>
      <c r="B7" s="5" t="n">
        <v>215</v>
      </c>
      <c r="C7" s="5" t="n">
        <v>179</v>
      </c>
      <c r="D7" s="63" t="n">
        <v>177</v>
      </c>
      <c r="E7" s="63">
        <f>D7-AB25-AB44</f>
        <v/>
      </c>
      <c r="F7" s="12" t="n">
        <v>0</v>
      </c>
    </row>
    <row r="8" ht="15.65" customHeight="1">
      <c r="A8" s="28" t="inlineStr">
        <is>
          <t>Heavy Duty Storage Box - 870L / Taupe</t>
        </is>
      </c>
      <c r="B8" s="5" t="n">
        <v>215</v>
      </c>
      <c r="C8" s="5" t="n">
        <v>179</v>
      </c>
      <c r="D8" s="63" t="n">
        <v>185</v>
      </c>
      <c r="E8" s="63">
        <f>D8-AB26-AB45</f>
        <v/>
      </c>
      <c r="F8" s="12" t="n">
        <v>25</v>
      </c>
    </row>
    <row r="9" ht="15.65" customHeight="1">
      <c r="A9" s="29" t="inlineStr">
        <is>
          <t>Heavy Duty Storage Box - 980L / Black</t>
        </is>
      </c>
      <c r="B9" s="5" t="n">
        <v>235</v>
      </c>
      <c r="C9" s="5" t="n">
        <v>199</v>
      </c>
      <c r="D9" s="63" t="n">
        <v>235</v>
      </c>
      <c r="E9" s="63">
        <f>D9-AB27-AB46</f>
        <v/>
      </c>
      <c r="F9" s="12" t="n">
        <v>33</v>
      </c>
    </row>
    <row r="10" ht="15.65" customHeight="1">
      <c r="A10" s="28" t="inlineStr">
        <is>
          <t>Heavy Duty Storage Box - 980L / Taupe</t>
        </is>
      </c>
      <c r="B10" s="5" t="n">
        <v>235</v>
      </c>
      <c r="C10" s="5" t="n">
        <v>199</v>
      </c>
      <c r="D10" s="63" t="n">
        <v>220</v>
      </c>
      <c r="E10" s="63">
        <f>D10-AB28-AB47</f>
        <v/>
      </c>
      <c r="F10" s="12" t="n">
        <v>0</v>
      </c>
    </row>
    <row r="11" ht="15.65" customHeight="1">
      <c r="A11" s="30" t="inlineStr">
        <is>
          <t>L Premium Metal Storage Box - 683L / Green</t>
        </is>
      </c>
      <c r="B11" s="5" t="n">
        <v>399</v>
      </c>
      <c r="C11" s="5" t="n">
        <v>349</v>
      </c>
      <c r="D11" s="63" t="n">
        <v>30</v>
      </c>
      <c r="E11" s="63">
        <f>D11-AB29-AB48</f>
        <v/>
      </c>
      <c r="F11" s="12" t="n"/>
    </row>
    <row r="12" ht="15.65" customHeight="1">
      <c r="A12" s="30" t="inlineStr">
        <is>
          <t>L Premium Metal Storage Box - 683L / Grey</t>
        </is>
      </c>
      <c r="B12" s="5" t="n">
        <v>399</v>
      </c>
      <c r="C12" s="5" t="n">
        <v>349</v>
      </c>
      <c r="D12" s="63" t="n">
        <v>30</v>
      </c>
      <c r="E12" s="63">
        <f>D12-AB30-AB49</f>
        <v/>
      </c>
      <c r="F12" s="12" t="n"/>
    </row>
    <row r="13" ht="15.65" customHeight="1">
      <c r="A13" s="30" t="inlineStr">
        <is>
          <t>XL Premium Metal Storage Box - 1056L / Green</t>
        </is>
      </c>
      <c r="B13" s="5" t="n">
        <v>499</v>
      </c>
      <c r="C13" s="5" t="n">
        <v>449</v>
      </c>
      <c r="D13" s="63" t="n">
        <v>30</v>
      </c>
      <c r="E13" s="63">
        <f>D13-AB31-AB50</f>
        <v/>
      </c>
      <c r="F13" s="12" t="n"/>
    </row>
    <row r="14" ht="15.65" customHeight="1">
      <c r="A14" s="30" t="inlineStr">
        <is>
          <t>XL Premium Metal Storage Box - 1056L / Grey</t>
        </is>
      </c>
      <c r="B14" s="5" t="n">
        <v>499</v>
      </c>
      <c r="C14" s="5" t="n">
        <v>449</v>
      </c>
      <c r="D14" s="63" t="n">
        <v>30</v>
      </c>
      <c r="E14" s="63">
        <f>D14-AB32-AB51</f>
        <v/>
      </c>
      <c r="F14" s="12" t="n"/>
    </row>
    <row r="15" ht="15.65" customHeight="1">
      <c r="A15" s="28" t="inlineStr">
        <is>
          <t>3m Luxury Hydraulic Parasol with 45kg Base and Cover - Grey</t>
        </is>
      </c>
      <c r="B15" s="5" t="n">
        <v>265</v>
      </c>
      <c r="C15" s="59" t="n">
        <v>179</v>
      </c>
      <c r="D15" s="63" t="n">
        <v>50</v>
      </c>
      <c r="E15" s="63">
        <f>D15-AB33-AB52</f>
        <v/>
      </c>
      <c r="F15" s="12" t="n"/>
    </row>
    <row r="16" ht="15.65" customHeight="1">
      <c r="A16" s="28" t="inlineStr">
        <is>
          <t>3m Luxury Hydraulic Parasol with 45kg Base and Cover - Natural</t>
        </is>
      </c>
      <c r="B16" s="5" t="n">
        <v>265</v>
      </c>
      <c r="C16" s="59" t="n">
        <v>179</v>
      </c>
      <c r="D16" s="63" t="n">
        <v>50</v>
      </c>
      <c r="E16" s="63">
        <f>D16-AB34-AB53</f>
        <v/>
      </c>
      <c r="F16" s="12" t="n"/>
    </row>
    <row r="17" ht="15.65" customHeight="1">
      <c r="A17" s="28" t="inlineStr">
        <is>
          <t>Premium Pop Up Gazebo With Sides</t>
        </is>
      </c>
      <c r="B17" s="5" t="n">
        <v>199</v>
      </c>
      <c r="C17" s="59" t="n">
        <v>179</v>
      </c>
      <c r="D17" s="63" t="n">
        <v>100</v>
      </c>
      <c r="E17" s="63">
        <f>D17-AB35-AB54</f>
        <v/>
      </c>
      <c r="F17" s="12" t="n"/>
    </row>
    <row r="19">
      <c r="A19" s="6" t="inlineStr">
        <is>
          <t>JOHN LEWIS</t>
        </is>
      </c>
      <c r="B19" s="88" t="inlineStr">
        <is>
          <t>MARCH</t>
        </is>
      </c>
      <c r="C19" s="86" t="n"/>
      <c r="D19" s="86" t="n"/>
      <c r="E19" s="86" t="n"/>
      <c r="F19" s="85" t="inlineStr">
        <is>
          <t>APRIL</t>
        </is>
      </c>
      <c r="G19" s="86" t="n"/>
      <c r="H19" s="86" t="n"/>
      <c r="I19" s="86" t="n"/>
      <c r="J19" s="87" t="n"/>
      <c r="K19" s="85" t="inlineStr">
        <is>
          <t>MAY</t>
        </is>
      </c>
      <c r="L19" s="86" t="n"/>
      <c r="M19" s="86" t="n"/>
      <c r="N19" s="87" t="n"/>
      <c r="O19" s="85" t="inlineStr">
        <is>
          <t>JUNE</t>
        </is>
      </c>
      <c r="P19" s="86" t="n"/>
      <c r="Q19" s="86" t="n"/>
      <c r="R19" s="86" t="n"/>
      <c r="S19" s="87" t="n"/>
      <c r="T19" s="85" t="inlineStr">
        <is>
          <t>JULY</t>
        </is>
      </c>
      <c r="U19" s="86" t="n"/>
      <c r="V19" s="86" t="n"/>
      <c r="W19" s="87" t="n"/>
      <c r="X19" s="85" t="inlineStr">
        <is>
          <t>AUGUST</t>
        </is>
      </c>
      <c r="Y19" s="86" t="n"/>
      <c r="Z19" s="86" t="n"/>
      <c r="AA19" s="87" t="n"/>
    </row>
    <row r="20">
      <c r="A20" s="1" t="inlineStr">
        <is>
          <t>PRODUCT DESCRIPTION</t>
        </is>
      </c>
      <c r="B20" s="85" t="inlineStr">
        <is>
          <t>1st - 8th March</t>
        </is>
      </c>
      <c r="C20" s="85" t="inlineStr">
        <is>
          <t>9th - 15th March</t>
        </is>
      </c>
      <c r="D20" s="85" t="inlineStr">
        <is>
          <t>16th - 22nd March</t>
        </is>
      </c>
      <c r="E20" s="85" t="inlineStr">
        <is>
          <t>23rd - 31st March</t>
        </is>
      </c>
      <c r="F20" s="85" t="inlineStr">
        <is>
          <t>1st - 5th April</t>
        </is>
      </c>
      <c r="G20" s="85" t="inlineStr">
        <is>
          <t>6th-12th April</t>
        </is>
      </c>
      <c r="H20" s="85" t="inlineStr">
        <is>
          <t>13th - 19th April</t>
        </is>
      </c>
      <c r="I20" s="85" t="inlineStr">
        <is>
          <t>20th - 26th April</t>
        </is>
      </c>
      <c r="J20" s="9" t="inlineStr">
        <is>
          <t>27th April - 3rd May</t>
        </is>
      </c>
      <c r="K20" s="85" t="inlineStr">
        <is>
          <t>4th - 10th May</t>
        </is>
      </c>
      <c r="L20" s="85" t="inlineStr">
        <is>
          <t>11th - 17th May</t>
        </is>
      </c>
      <c r="M20" s="88" t="inlineStr">
        <is>
          <t>18th - 24th May</t>
        </is>
      </c>
      <c r="N20" s="85" t="inlineStr">
        <is>
          <t>25th - 31st May</t>
        </is>
      </c>
      <c r="O20" s="85" t="inlineStr">
        <is>
          <t>1st-7th June</t>
        </is>
      </c>
      <c r="P20" s="85" t="inlineStr">
        <is>
          <t>8th-14th June</t>
        </is>
      </c>
      <c r="Q20" s="85" t="inlineStr">
        <is>
          <t>15th-21st June</t>
        </is>
      </c>
      <c r="R20" s="85" t="inlineStr">
        <is>
          <t>22nd-28th June</t>
        </is>
      </c>
      <c r="S20" s="85" t="inlineStr">
        <is>
          <t>29th June-5th July</t>
        </is>
      </c>
      <c r="T20" s="85" t="inlineStr">
        <is>
          <t>6th - 12th July</t>
        </is>
      </c>
      <c r="U20" s="85" t="inlineStr">
        <is>
          <t>13th - 19th July</t>
        </is>
      </c>
      <c r="V20" s="85" t="inlineStr">
        <is>
          <t>20th - 26th July</t>
        </is>
      </c>
      <c r="W20" s="85" t="inlineStr">
        <is>
          <t>27th July - 2nd Aug</t>
        </is>
      </c>
      <c r="X20" s="85" t="inlineStr">
        <is>
          <t>3rd-9th Aug</t>
        </is>
      </c>
      <c r="Y20" s="85" t="inlineStr">
        <is>
          <t>10th-16th Aug</t>
        </is>
      </c>
      <c r="Z20" s="85" t="inlineStr">
        <is>
          <t>17th-23rd Aug</t>
        </is>
      </c>
      <c r="AA20" s="85" t="inlineStr">
        <is>
          <t>24th-30th Aug</t>
        </is>
      </c>
      <c r="AB20" s="11" t="inlineStr">
        <is>
          <t>TOTAL</t>
        </is>
      </c>
    </row>
    <row r="21" ht="15.65" customHeight="1">
      <c r="A21" s="28" t="inlineStr">
        <is>
          <t>Heavy Duty Storage Box - 270L / Taupe</t>
        </is>
      </c>
      <c r="B21" s="34" t="n"/>
      <c r="C21" s="34" t="n"/>
      <c r="D21" s="34" t="n"/>
      <c r="E21" s="34" t="n"/>
      <c r="F21" s="61" t="n"/>
      <c r="G21" s="61" t="n"/>
      <c r="H21" s="61" t="n"/>
      <c r="I21" s="61" t="n"/>
      <c r="J21" s="13" t="n">
        <v>2</v>
      </c>
      <c r="K21" s="13" t="n">
        <v>9</v>
      </c>
      <c r="L21" s="13" t="n">
        <v>9</v>
      </c>
      <c r="M21" s="25" t="n">
        <v>8</v>
      </c>
      <c r="N21" s="13" t="n">
        <v>18</v>
      </c>
      <c r="O21" s="14" t="n">
        <v>19</v>
      </c>
      <c r="P21" s="14" t="n">
        <v>13</v>
      </c>
      <c r="Q21" s="14" t="n">
        <v>21</v>
      </c>
      <c r="R21" s="14" t="n">
        <v>19</v>
      </c>
      <c r="S21" s="14" t="n">
        <v>13</v>
      </c>
      <c r="T21" s="14" t="n">
        <v>23</v>
      </c>
      <c r="U21" s="14" t="n">
        <v>10</v>
      </c>
      <c r="V21" s="14" t="n">
        <v>16</v>
      </c>
      <c r="W21" s="14" t="n"/>
      <c r="X21" s="14" t="n"/>
      <c r="Y21" s="14" t="n"/>
      <c r="Z21" s="14" t="n"/>
      <c r="AA21" s="14" t="n"/>
      <c r="AB21" s="13">
        <f>SUM(B21:AA21)</f>
        <v/>
      </c>
      <c r="AC21" s="79" t="n"/>
      <c r="AD21">
        <f>O21+P21+Q21+R21</f>
        <v/>
      </c>
      <c r="AE21">
        <f>O40+P40+Q40+R40</f>
        <v/>
      </c>
      <c r="AF21">
        <f>AD21+AE21</f>
        <v/>
      </c>
    </row>
    <row r="22" ht="15.65" customHeight="1">
      <c r="A22" s="28" t="inlineStr">
        <is>
          <t>Heavy Duty Storage Box - 450L / Taupe</t>
        </is>
      </c>
      <c r="B22" s="34" t="n"/>
      <c r="C22" s="34" t="n"/>
      <c r="D22" s="34" t="n"/>
      <c r="E22" s="34" t="n"/>
      <c r="F22" s="61" t="n"/>
      <c r="G22" s="61" t="n"/>
      <c r="H22" s="61" t="n"/>
      <c r="I22" s="61" t="n"/>
      <c r="J22" s="13" t="n">
        <v>1</v>
      </c>
      <c r="K22" s="13" t="n">
        <v>6</v>
      </c>
      <c r="L22" s="13" t="n">
        <v>14</v>
      </c>
      <c r="M22" s="25" t="n">
        <v>10</v>
      </c>
      <c r="N22" s="13" t="n">
        <v>18</v>
      </c>
      <c r="O22" s="14" t="n">
        <v>19</v>
      </c>
      <c r="P22" s="14" t="n">
        <v>14</v>
      </c>
      <c r="Q22" s="14" t="n">
        <v>7</v>
      </c>
      <c r="R22" s="14" t="n">
        <v>18</v>
      </c>
      <c r="S22" s="14" t="n">
        <v>23</v>
      </c>
      <c r="T22" s="14" t="n">
        <v>11</v>
      </c>
      <c r="U22" s="14" t="n">
        <v>9</v>
      </c>
      <c r="V22" s="14" t="n">
        <v>6</v>
      </c>
      <c r="W22" s="14" t="n"/>
      <c r="X22" s="14" t="n"/>
      <c r="Y22" s="14" t="n"/>
      <c r="Z22" s="14" t="n"/>
      <c r="AA22" s="14" t="n"/>
      <c r="AB22" s="13">
        <f>SUM(B22:AA22)</f>
        <v/>
      </c>
      <c r="AC22" s="79" t="n"/>
      <c r="AD22">
        <f>O22+P22+Q22+R22</f>
        <v/>
      </c>
      <c r="AE22">
        <f>O41+P41+Q41+R41</f>
        <v/>
      </c>
      <c r="AF22">
        <f>AD22+AE22</f>
        <v/>
      </c>
    </row>
    <row r="23" ht="15.65" customHeight="1">
      <c r="A23" s="29" t="inlineStr">
        <is>
          <t>Heavy Duty Storage Box - 680L / Black</t>
        </is>
      </c>
      <c r="B23" s="34" t="n"/>
      <c r="C23" s="34" t="n"/>
      <c r="D23" s="34" t="n"/>
      <c r="E23" s="34" t="n"/>
      <c r="F23" s="61" t="n"/>
      <c r="G23" s="61" t="n"/>
      <c r="H23" s="61" t="n"/>
      <c r="I23" s="61" t="n"/>
      <c r="J23" s="13" t="n">
        <v>0</v>
      </c>
      <c r="K23" s="13" t="n">
        <v>0</v>
      </c>
      <c r="L23" s="13" t="n">
        <v>3</v>
      </c>
      <c r="M23" s="25" t="n">
        <v>7</v>
      </c>
      <c r="N23" s="13" t="n">
        <v>9</v>
      </c>
      <c r="O23" s="14" t="n">
        <v>13</v>
      </c>
      <c r="P23" s="14" t="n">
        <v>2</v>
      </c>
      <c r="Q23" s="14" t="n">
        <v>0</v>
      </c>
      <c r="R23" s="14" t="n">
        <v>0</v>
      </c>
      <c r="S23" s="14" t="n">
        <v>0</v>
      </c>
      <c r="T23" s="14" t="n">
        <v>4</v>
      </c>
      <c r="U23" s="14" t="n">
        <v>2</v>
      </c>
      <c r="V23" s="14" t="n">
        <v>2</v>
      </c>
      <c r="W23" s="14" t="n"/>
      <c r="X23" s="14" t="n"/>
      <c r="Y23" s="14" t="n"/>
      <c r="Z23" s="14" t="n"/>
      <c r="AA23" s="14" t="n"/>
      <c r="AB23" s="13">
        <f>SUM(B23:AA23)</f>
        <v/>
      </c>
      <c r="AC23" s="79" t="n"/>
      <c r="AD23">
        <f>O23+P23+Q23+R23</f>
        <v/>
      </c>
      <c r="AE23">
        <f>O42+P42+Q42+R42</f>
        <v/>
      </c>
      <c r="AF23">
        <f>AD23+AE23</f>
        <v/>
      </c>
    </row>
    <row r="24" ht="15.65" customHeight="1">
      <c r="A24" s="28" t="inlineStr">
        <is>
          <t>Heavy Duty Storage Box - 680L / Taupe</t>
        </is>
      </c>
      <c r="B24" s="34" t="n"/>
      <c r="C24" s="34" t="n"/>
      <c r="D24" s="34" t="n"/>
      <c r="E24" s="34" t="n"/>
      <c r="F24" s="62" t="n"/>
      <c r="G24" s="62" t="n"/>
      <c r="H24" s="62" t="n"/>
      <c r="I24" s="62" t="n"/>
      <c r="J24" s="13" t="n">
        <v>1</v>
      </c>
      <c r="K24" s="13" t="n">
        <v>6</v>
      </c>
      <c r="L24" s="13" t="n">
        <v>3</v>
      </c>
      <c r="M24" s="25" t="n">
        <v>9</v>
      </c>
      <c r="N24" s="13" t="n">
        <v>18</v>
      </c>
      <c r="O24" s="14" t="n">
        <v>19</v>
      </c>
      <c r="P24" s="14" t="n">
        <v>29</v>
      </c>
      <c r="Q24" s="14" t="n">
        <v>17</v>
      </c>
      <c r="R24" s="14" t="n">
        <v>9</v>
      </c>
      <c r="S24" s="14" t="n">
        <v>0</v>
      </c>
      <c r="T24" s="14" t="n">
        <v>8</v>
      </c>
      <c r="U24" s="14" t="n">
        <v>22</v>
      </c>
      <c r="V24" s="14" t="n">
        <v>9</v>
      </c>
      <c r="W24" s="14" t="n"/>
      <c r="X24" s="14" t="n"/>
      <c r="Y24" s="14" t="n"/>
      <c r="Z24" s="14" t="n"/>
      <c r="AA24" s="14" t="n"/>
      <c r="AB24" s="13">
        <f>SUM(B24:AA24)</f>
        <v/>
      </c>
      <c r="AC24" s="79" t="n"/>
      <c r="AD24">
        <f>O24+P24+Q24+R24</f>
        <v/>
      </c>
      <c r="AE24">
        <f>O43+P43+Q43+R43</f>
        <v/>
      </c>
      <c r="AF24">
        <f>AD24+AE24</f>
        <v/>
      </c>
    </row>
    <row r="25" ht="15" customHeight="1">
      <c r="A25" s="29" t="inlineStr">
        <is>
          <t>Heavy Duty Storage Box - 870L / Black</t>
        </is>
      </c>
      <c r="B25" s="34" t="n"/>
      <c r="C25" s="34" t="n"/>
      <c r="D25" s="34" t="n"/>
      <c r="E25" s="34" t="n"/>
      <c r="F25" s="62" t="n"/>
      <c r="G25" s="62" t="n"/>
      <c r="H25" s="62" t="n"/>
      <c r="I25" s="62" t="n"/>
      <c r="J25" s="13" t="n">
        <v>0</v>
      </c>
      <c r="K25" s="13" t="n">
        <v>2</v>
      </c>
      <c r="L25" s="13" t="n">
        <v>3</v>
      </c>
      <c r="M25" s="48" t="n">
        <v>0</v>
      </c>
      <c r="N25" s="13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1</v>
      </c>
      <c r="U25" s="14" t="n">
        <v>2</v>
      </c>
      <c r="V25" s="14" t="n">
        <v>2</v>
      </c>
      <c r="W25" s="14" t="n"/>
      <c r="X25" s="14" t="n"/>
      <c r="Y25" s="14" t="n"/>
      <c r="Z25" s="14" t="n"/>
      <c r="AA25" s="14" t="n"/>
      <c r="AB25" s="13">
        <f>SUM(B25:AA25)</f>
        <v/>
      </c>
      <c r="AC25" s="79" t="n"/>
      <c r="AD25">
        <f>O25+P25+Q25+R25</f>
        <v/>
      </c>
      <c r="AE25">
        <f>O44+P44+Q44+R44</f>
        <v/>
      </c>
      <c r="AF25">
        <f>AD25+AE25</f>
        <v/>
      </c>
    </row>
    <row r="26" ht="15" customHeight="1">
      <c r="A26" s="28" t="inlineStr">
        <is>
          <t>Heavy Duty Storage Box - 870L / Taupe</t>
        </is>
      </c>
      <c r="B26" s="34" t="n"/>
      <c r="C26" s="34" t="n"/>
      <c r="D26" s="34" t="n"/>
      <c r="E26" s="34" t="n"/>
      <c r="F26" s="62" t="n"/>
      <c r="G26" s="62" t="n"/>
      <c r="H26" s="62" t="n"/>
      <c r="I26" s="62" t="n"/>
      <c r="J26" s="13" t="n">
        <v>4</v>
      </c>
      <c r="K26" s="13" t="n">
        <v>2</v>
      </c>
      <c r="L26" s="13" t="n">
        <v>6</v>
      </c>
      <c r="M26" s="25" t="n">
        <v>10</v>
      </c>
      <c r="N26" s="13" t="n">
        <v>2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4" t="n">
        <v>5</v>
      </c>
      <c r="U26" s="14" t="n">
        <v>5</v>
      </c>
      <c r="V26" s="14" t="n">
        <v>5</v>
      </c>
      <c r="W26" s="14" t="n"/>
      <c r="X26" s="14" t="n"/>
      <c r="Y26" s="14" t="n"/>
      <c r="Z26" s="14" t="n"/>
      <c r="AA26" s="14" t="n"/>
      <c r="AB26" s="13">
        <f>SUM(B26:AA26)</f>
        <v/>
      </c>
      <c r="AC26" s="79" t="n"/>
      <c r="AD26">
        <f>O26+P26+Q26+R26</f>
        <v/>
      </c>
      <c r="AE26">
        <f>O45+P45+Q45+R45</f>
        <v/>
      </c>
      <c r="AF26">
        <f>AD26+AE26</f>
        <v/>
      </c>
    </row>
    <row r="27" ht="15" customHeight="1">
      <c r="A27" s="29" t="inlineStr">
        <is>
          <t>Heavy Duty Storage Box - 980L / Black</t>
        </is>
      </c>
      <c r="B27" s="34" t="n"/>
      <c r="C27" s="34" t="n"/>
      <c r="D27" s="34" t="n"/>
      <c r="E27" s="34" t="n"/>
      <c r="F27" s="62" t="n"/>
      <c r="G27" s="62" t="n"/>
      <c r="H27" s="62" t="n"/>
      <c r="I27" s="62" t="n"/>
      <c r="J27" s="13" t="n">
        <v>5</v>
      </c>
      <c r="K27" s="13" t="n">
        <v>4</v>
      </c>
      <c r="L27" s="13" t="n">
        <v>2</v>
      </c>
      <c r="M27" s="25" t="n">
        <v>4</v>
      </c>
      <c r="N27" s="13" t="n">
        <v>3</v>
      </c>
      <c r="O27" s="14" t="n">
        <v>0</v>
      </c>
      <c r="P27" s="14" t="n">
        <v>0</v>
      </c>
      <c r="Q27" s="14" t="n">
        <v>0</v>
      </c>
      <c r="R27" s="83" t="n">
        <v>0</v>
      </c>
      <c r="S27" s="14" t="n">
        <v>0</v>
      </c>
      <c r="T27" s="83" t="n">
        <v>7</v>
      </c>
      <c r="U27" s="83" t="n">
        <v>1</v>
      </c>
      <c r="V27" s="83" t="n">
        <v>2</v>
      </c>
      <c r="W27" s="83" t="n"/>
      <c r="X27" s="83" t="n"/>
      <c r="Y27" s="83" t="n"/>
      <c r="Z27" s="83" t="n"/>
      <c r="AA27" s="83" t="n"/>
      <c r="AB27" s="13">
        <f>SUM(B27:AA27)</f>
        <v/>
      </c>
      <c r="AC27" s="79" t="n"/>
      <c r="AD27">
        <f>O27+P27+Q27+R27</f>
        <v/>
      </c>
      <c r="AE27">
        <f>O46+P46+Q46+R46</f>
        <v/>
      </c>
      <c r="AF27">
        <f>AD27+AE27</f>
        <v/>
      </c>
    </row>
    <row r="28" ht="15" customHeight="1">
      <c r="A28" s="28" t="inlineStr">
        <is>
          <t>Heavy Duty Storage Box - 980L / Taupe</t>
        </is>
      </c>
      <c r="B28" s="34" t="n"/>
      <c r="C28" s="34" t="n"/>
      <c r="D28" s="34" t="n"/>
      <c r="E28" s="34" t="n"/>
      <c r="F28" s="62" t="n"/>
      <c r="G28" s="62" t="n"/>
      <c r="H28" s="62" t="n"/>
      <c r="I28" s="62" t="n"/>
      <c r="J28" s="13" t="n">
        <v>4</v>
      </c>
      <c r="K28" s="13" t="n">
        <v>6</v>
      </c>
      <c r="L28" s="13" t="n">
        <v>13</v>
      </c>
      <c r="M28" s="25" t="n">
        <v>13</v>
      </c>
      <c r="N28" s="13" t="n">
        <v>6</v>
      </c>
      <c r="O28" s="14" t="n">
        <v>0</v>
      </c>
      <c r="P28" s="14" t="n">
        <v>0</v>
      </c>
      <c r="Q28" s="14" t="n">
        <v>0</v>
      </c>
      <c r="R28" s="14" t="n">
        <v>0</v>
      </c>
      <c r="S28" s="14" t="n">
        <v>0</v>
      </c>
      <c r="T28" s="14" t="n">
        <v>20</v>
      </c>
      <c r="U28" s="14" t="n">
        <v>11</v>
      </c>
      <c r="V28" s="14" t="n">
        <v>10</v>
      </c>
      <c r="W28" s="14" t="n"/>
      <c r="X28" s="14" t="n"/>
      <c r="Y28" s="14" t="n"/>
      <c r="Z28" s="14" t="n"/>
      <c r="AA28" s="14" t="n"/>
      <c r="AB28" s="13">
        <f>SUM(B28:AA28)</f>
        <v/>
      </c>
      <c r="AC28" s="79" t="n"/>
      <c r="AD28">
        <f>O28+P28+Q28+R28</f>
        <v/>
      </c>
      <c r="AE28">
        <f>O47+P47+Q47+R47</f>
        <v/>
      </c>
      <c r="AF28">
        <f>AD28+AE28</f>
        <v/>
      </c>
    </row>
    <row r="29" ht="15" customHeight="1">
      <c r="A29" s="30" t="inlineStr">
        <is>
          <t>L Premium Metal Storage Box - 683L / Green</t>
        </is>
      </c>
      <c r="B29" s="34" t="n"/>
      <c r="C29" s="34" t="n"/>
      <c r="D29" s="34" t="n"/>
      <c r="E29" s="34" t="n"/>
      <c r="F29" s="62" t="n"/>
      <c r="G29" s="62" t="n"/>
      <c r="H29" s="62" t="n"/>
      <c r="I29" s="62" t="n"/>
      <c r="J29" s="13" t="n">
        <v>0</v>
      </c>
      <c r="K29" s="13" t="n">
        <v>2</v>
      </c>
      <c r="L29" s="13" t="n">
        <v>2</v>
      </c>
      <c r="M29" s="25" t="n">
        <v>2</v>
      </c>
      <c r="N29" s="13" t="n">
        <v>1</v>
      </c>
      <c r="O29" s="14" t="n">
        <v>4</v>
      </c>
      <c r="P29" s="14" t="n">
        <v>1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1</v>
      </c>
      <c r="V29" s="14" t="n">
        <v>2</v>
      </c>
      <c r="W29" s="14" t="n"/>
      <c r="X29" s="14" t="n"/>
      <c r="Y29" s="14" t="n"/>
      <c r="Z29" s="14" t="n"/>
      <c r="AA29" s="14" t="n"/>
      <c r="AB29" s="13">
        <f>SUM(B29:AA29)</f>
        <v/>
      </c>
      <c r="AC29" s="79" t="n"/>
      <c r="AD29">
        <f>O29+P29+Q29+R29</f>
        <v/>
      </c>
      <c r="AE29">
        <f>O48+P48+Q48+R48</f>
        <v/>
      </c>
      <c r="AF29">
        <f>AD29+AE29</f>
        <v/>
      </c>
    </row>
    <row r="30" ht="15" customHeight="1">
      <c r="A30" s="30" t="inlineStr">
        <is>
          <t>L Premium Metal Storage Box - 683L / Grey</t>
        </is>
      </c>
      <c r="B30" s="34" t="n"/>
      <c r="C30" s="34" t="n"/>
      <c r="D30" s="34" t="n"/>
      <c r="E30" s="34" t="n"/>
      <c r="F30" s="62" t="n"/>
      <c r="G30" s="62" t="n"/>
      <c r="H30" s="62" t="n"/>
      <c r="I30" s="62" t="n"/>
      <c r="J30" s="13" t="n">
        <v>0</v>
      </c>
      <c r="K30" s="13" t="n">
        <v>1</v>
      </c>
      <c r="L30" s="13" t="n">
        <v>1</v>
      </c>
      <c r="M30" s="25" t="n">
        <v>0</v>
      </c>
      <c r="N30" s="13" t="n">
        <v>0</v>
      </c>
      <c r="O30" s="14" t="n">
        <v>1</v>
      </c>
      <c r="P30" s="14" t="n">
        <v>1</v>
      </c>
      <c r="Q30" s="14" t="n">
        <v>1</v>
      </c>
      <c r="R30" s="14" t="n">
        <v>3</v>
      </c>
      <c r="S30" s="14" t="n">
        <v>3</v>
      </c>
      <c r="T30" s="14" t="n">
        <v>4</v>
      </c>
      <c r="U30" s="14" t="n">
        <v>4</v>
      </c>
      <c r="V30" s="14" t="n">
        <v>0</v>
      </c>
      <c r="W30" s="14" t="n"/>
      <c r="X30" s="14" t="n"/>
      <c r="Y30" s="14" t="n"/>
      <c r="Z30" s="14" t="n"/>
      <c r="AA30" s="14" t="n"/>
      <c r="AB30" s="13">
        <f>SUM(B30:AA30)</f>
        <v/>
      </c>
      <c r="AC30" s="79" t="n"/>
      <c r="AD30">
        <f>O30+P30+Q30+R30</f>
        <v/>
      </c>
      <c r="AE30">
        <f>O49+P49+Q49+R49</f>
        <v/>
      </c>
      <c r="AF30">
        <f>AD30+AE30</f>
        <v/>
      </c>
    </row>
    <row r="31" ht="15" customHeight="1">
      <c r="A31" s="30" t="inlineStr">
        <is>
          <t>XL Premium Metal Storage Box - 1056L / Green</t>
        </is>
      </c>
      <c r="B31" s="34" t="n"/>
      <c r="C31" s="34" t="n"/>
      <c r="D31" s="34" t="n"/>
      <c r="E31" s="34" t="n"/>
      <c r="F31" s="62" t="n"/>
      <c r="G31" s="62" t="n"/>
      <c r="H31" s="62" t="n"/>
      <c r="I31" s="62" t="n"/>
      <c r="J31" s="13" t="n">
        <v>0</v>
      </c>
      <c r="K31" s="13" t="n">
        <v>1</v>
      </c>
      <c r="L31" s="13" t="n">
        <v>3</v>
      </c>
      <c r="M31" s="25" t="n">
        <v>2</v>
      </c>
      <c r="N31" s="13" t="n">
        <v>2</v>
      </c>
      <c r="O31" s="14" t="n">
        <v>1</v>
      </c>
      <c r="P31" s="14" t="n">
        <v>3</v>
      </c>
      <c r="Q31" s="14" t="n">
        <v>2</v>
      </c>
      <c r="R31" s="14" t="n">
        <v>4</v>
      </c>
      <c r="S31" s="14" t="n">
        <v>0</v>
      </c>
      <c r="T31" s="14" t="n">
        <v>1</v>
      </c>
      <c r="U31" s="14" t="n">
        <v>1</v>
      </c>
      <c r="V31" s="14" t="n">
        <v>5</v>
      </c>
      <c r="W31" s="14" t="n"/>
      <c r="X31" s="14" t="n"/>
      <c r="Y31" s="14" t="n"/>
      <c r="Z31" s="14" t="n"/>
      <c r="AA31" s="14" t="n"/>
      <c r="AB31" s="13">
        <f>SUM(B31:AA31)</f>
        <v/>
      </c>
      <c r="AC31" s="79" t="n"/>
      <c r="AD31">
        <f>O31+P31+Q31+R31</f>
        <v/>
      </c>
      <c r="AE31">
        <f>O50+P50+Q50+R50</f>
        <v/>
      </c>
      <c r="AF31">
        <f>AD31+AE31</f>
        <v/>
      </c>
    </row>
    <row r="32" ht="15" customHeight="1">
      <c r="A32" s="30" t="inlineStr">
        <is>
          <t>XL Premium Metal Storage Box - 1056L / Grey</t>
        </is>
      </c>
      <c r="B32" s="34" t="n"/>
      <c r="C32" s="34" t="n"/>
      <c r="D32" s="34" t="n"/>
      <c r="E32" s="34" t="n"/>
      <c r="F32" s="62" t="n"/>
      <c r="G32" s="62" t="n"/>
      <c r="H32" s="62" t="n"/>
      <c r="I32" s="62" t="n"/>
      <c r="J32" s="13" t="n">
        <v>2</v>
      </c>
      <c r="K32" s="13" t="n">
        <v>0</v>
      </c>
      <c r="L32" s="13" t="n">
        <v>0</v>
      </c>
      <c r="M32" s="25" t="n">
        <v>2</v>
      </c>
      <c r="N32" s="13" t="n">
        <v>0</v>
      </c>
      <c r="O32" s="14" t="n">
        <v>0</v>
      </c>
      <c r="P32" s="14" t="n">
        <v>0</v>
      </c>
      <c r="Q32" s="14" t="n">
        <v>0</v>
      </c>
      <c r="R32" s="14" t="n">
        <v>4</v>
      </c>
      <c r="S32" s="14" t="n">
        <v>2</v>
      </c>
      <c r="T32" s="14" t="n">
        <v>7</v>
      </c>
      <c r="U32" s="14" t="n">
        <v>2</v>
      </c>
      <c r="V32" s="14" t="n">
        <v>2</v>
      </c>
      <c r="W32" s="14" t="n"/>
      <c r="X32" s="14" t="n"/>
      <c r="Y32" s="14" t="n"/>
      <c r="Z32" s="14" t="n"/>
      <c r="AA32" s="14" t="n"/>
      <c r="AB32" s="13">
        <f>SUM(B32:AA32)</f>
        <v/>
      </c>
      <c r="AC32" s="79" t="n"/>
      <c r="AD32">
        <f>O32+P32+Q32+R32</f>
        <v/>
      </c>
      <c r="AE32">
        <f>O51+P51+Q51+R51</f>
        <v/>
      </c>
      <c r="AF32">
        <f>AD32+AE32</f>
        <v/>
      </c>
    </row>
    <row r="33" ht="15" customHeight="1">
      <c r="A33" s="28" t="inlineStr">
        <is>
          <t>3m Luxury Hydraulic Parasol with 45kg Base and Cover - Grey</t>
        </is>
      </c>
      <c r="B33" s="34" t="n"/>
      <c r="C33" s="34" t="n"/>
      <c r="D33" s="34" t="n"/>
      <c r="E33" s="34" t="n"/>
      <c r="F33" s="62" t="n"/>
      <c r="G33" s="62" t="n"/>
      <c r="H33" s="62" t="n"/>
      <c r="I33" s="62" t="n"/>
      <c r="J33" s="13" t="n">
        <v>2</v>
      </c>
      <c r="K33" s="13" t="n">
        <v>0</v>
      </c>
      <c r="L33" s="13" t="n">
        <v>1</v>
      </c>
      <c r="M33" s="13" t="n">
        <v>6</v>
      </c>
      <c r="N33" s="13" t="n">
        <v>8</v>
      </c>
      <c r="O33" s="14" t="n">
        <v>0</v>
      </c>
      <c r="P33" s="14" t="n">
        <v>5</v>
      </c>
      <c r="Q33" s="14" t="n">
        <v>9</v>
      </c>
      <c r="R33" s="14" t="n">
        <v>2</v>
      </c>
      <c r="S33" s="14" t="n">
        <v>0</v>
      </c>
      <c r="T33" s="14" t="n">
        <v>6</v>
      </c>
      <c r="U33" s="14" t="n">
        <v>0</v>
      </c>
      <c r="V33" s="14" t="n">
        <v>0</v>
      </c>
      <c r="W33" s="14" t="n"/>
      <c r="X33" s="14" t="n"/>
      <c r="Y33" s="14" t="n"/>
      <c r="Z33" s="14" t="n"/>
      <c r="AA33" s="14" t="n"/>
      <c r="AB33" s="13">
        <f>SUM(B33:AA33)</f>
        <v/>
      </c>
      <c r="AC33" s="79" t="n"/>
      <c r="AD33">
        <f>O33+P33+Q33+R33</f>
        <v/>
      </c>
      <c r="AE33">
        <f>O52+P52+Q52+R52</f>
        <v/>
      </c>
      <c r="AF33">
        <f>AD33+AE33</f>
        <v/>
      </c>
    </row>
    <row r="34" ht="15" customHeight="1">
      <c r="A34" s="28" t="inlineStr">
        <is>
          <t>3m Luxury Hydraulic Parasol with 45kg Base and Cover - Natural</t>
        </is>
      </c>
      <c r="B34" s="34" t="n"/>
      <c r="C34" s="34" t="n"/>
      <c r="D34" s="34" t="n"/>
      <c r="E34" s="34" t="n"/>
      <c r="F34" s="62" t="n"/>
      <c r="G34" s="62" t="n"/>
      <c r="H34" s="62" t="n"/>
      <c r="I34" s="62" t="n"/>
      <c r="J34" s="13" t="n">
        <v>0</v>
      </c>
      <c r="K34" s="13" t="n">
        <v>1</v>
      </c>
      <c r="L34" s="13" t="n">
        <v>2</v>
      </c>
      <c r="M34" s="13" t="n">
        <v>3</v>
      </c>
      <c r="N34" s="13" t="n">
        <v>10</v>
      </c>
      <c r="O34" s="14" t="n">
        <v>2</v>
      </c>
      <c r="P34" s="14" t="n">
        <v>3</v>
      </c>
      <c r="Q34" s="14" t="n">
        <v>7</v>
      </c>
      <c r="R34" s="14" t="n">
        <v>3</v>
      </c>
      <c r="S34" s="14" t="n">
        <v>0</v>
      </c>
      <c r="T34" s="14" t="n">
        <v>0</v>
      </c>
      <c r="U34" s="14" t="n">
        <v>0</v>
      </c>
      <c r="V34" s="14" t="n">
        <v>0</v>
      </c>
      <c r="W34" s="14" t="n"/>
      <c r="X34" s="14" t="n"/>
      <c r="Y34" s="14" t="n"/>
      <c r="Z34" s="14" t="n"/>
      <c r="AA34" s="14" t="n"/>
      <c r="AB34" s="13">
        <f>SUM(B34:AA34)</f>
        <v/>
      </c>
      <c r="AC34" s="79" t="n"/>
      <c r="AD34">
        <f>O34+P34+Q34+R34</f>
        <v/>
      </c>
      <c r="AE34">
        <f>O53+P53+Q53+R53</f>
        <v/>
      </c>
      <c r="AF34">
        <f>AD34+AE34</f>
        <v/>
      </c>
    </row>
    <row r="35" ht="15" customHeight="1">
      <c r="A35" s="28" t="inlineStr">
        <is>
          <t>Premium Pop Up Gazebo With Sides</t>
        </is>
      </c>
      <c r="B35" s="34" t="n"/>
      <c r="C35" s="34" t="n"/>
      <c r="D35" s="34" t="n"/>
      <c r="E35" s="34" t="n"/>
      <c r="F35" s="62" t="n"/>
      <c r="G35" s="62" t="n"/>
      <c r="H35" s="62" t="n"/>
      <c r="I35" s="62" t="n"/>
      <c r="J35" s="13" t="n">
        <v>0</v>
      </c>
      <c r="K35" s="13" t="n">
        <v>2</v>
      </c>
      <c r="L35" s="13" t="n">
        <v>0</v>
      </c>
      <c r="M35" s="13" t="n">
        <v>5</v>
      </c>
      <c r="N35" s="13" t="n">
        <v>3</v>
      </c>
      <c r="O35" s="14" t="n">
        <v>3</v>
      </c>
      <c r="P35" s="14" t="n">
        <v>1</v>
      </c>
      <c r="Q35" s="14" t="n">
        <v>11</v>
      </c>
      <c r="R35" s="14" t="n">
        <v>6</v>
      </c>
      <c r="S35" s="14" t="n">
        <v>5</v>
      </c>
      <c r="T35" s="14" t="n">
        <v>9</v>
      </c>
      <c r="U35" s="14" t="n">
        <v>6</v>
      </c>
      <c r="V35" s="14" t="n">
        <v>3</v>
      </c>
      <c r="W35" s="14" t="n"/>
      <c r="X35" s="14" t="n"/>
      <c r="Y35" s="14" t="n"/>
      <c r="Z35" s="14" t="n"/>
      <c r="AA35" s="14" t="n"/>
      <c r="AB35" s="13">
        <f>SUM(B35:AA35)</f>
        <v/>
      </c>
      <c r="AC35" s="79" t="n"/>
      <c r="AD35">
        <f>O35+P35+Q35+R35</f>
        <v/>
      </c>
      <c r="AE35">
        <f>O54+P54+Q54+R54</f>
        <v/>
      </c>
      <c r="AF35">
        <f>AD35+AE35</f>
        <v/>
      </c>
    </row>
    <row r="36">
      <c r="A36" s="15" t="inlineStr">
        <is>
          <t>TOTAL</t>
        </is>
      </c>
      <c r="B36" s="31">
        <f>SUM(B21:B28)</f>
        <v/>
      </c>
      <c r="C36" s="31">
        <f>SUM(C21:C28)</f>
        <v/>
      </c>
      <c r="D36" s="31">
        <f>SUM(D21:D28)</f>
        <v/>
      </c>
      <c r="E36" s="31">
        <f>SUM(E21:E28)</f>
        <v/>
      </c>
      <c r="F36" s="27">
        <f>SUM(F21:F28)</f>
        <v/>
      </c>
      <c r="G36" s="27">
        <f>SUM(G21:G28)</f>
        <v/>
      </c>
      <c r="H36" s="27">
        <f>SUM(H21:H28)</f>
        <v/>
      </c>
      <c r="I36" s="27">
        <f>SUM(I21:I28)</f>
        <v/>
      </c>
      <c r="J36" s="27">
        <f>SUM(J21:J35)</f>
        <v/>
      </c>
      <c r="K36" s="27">
        <f>SUM(K21:K35)</f>
        <v/>
      </c>
      <c r="L36" s="27">
        <f>SUM(L21:L35)</f>
        <v/>
      </c>
      <c r="M36" s="27">
        <f>SUM(M21:M35)</f>
        <v/>
      </c>
      <c r="N36" s="27">
        <f>SUM(N21:N35)</f>
        <v/>
      </c>
      <c r="O36" s="27">
        <f>SUM(O21:O35)</f>
        <v/>
      </c>
      <c r="P36" s="27">
        <f>SUM(P21:P35)</f>
        <v/>
      </c>
      <c r="Q36" s="27">
        <f>SUM(Q21:Q35)</f>
        <v/>
      </c>
      <c r="R36" s="27">
        <f>SUM(R21:R35)</f>
        <v/>
      </c>
      <c r="S36" s="27">
        <f>SUM(S21:S35)</f>
        <v/>
      </c>
      <c r="T36" s="27">
        <f>SUM(T21:T35)</f>
        <v/>
      </c>
      <c r="U36" s="27">
        <f>SUM(U21:U35)</f>
        <v/>
      </c>
      <c r="V36" s="27">
        <f>SUM(V21:V35)</f>
        <v/>
      </c>
      <c r="W36" s="27">
        <f>SUM(W21:W35)</f>
        <v/>
      </c>
      <c r="X36" s="27">
        <f>SUM(X21:X35)</f>
        <v/>
      </c>
      <c r="Y36" s="27">
        <f>SUM(Y21:Y35)</f>
        <v/>
      </c>
      <c r="Z36" s="27">
        <f>SUM(Z21:Z35)</f>
        <v/>
      </c>
      <c r="AA36" s="27">
        <f>SUM(AA21:AA35)</f>
        <v/>
      </c>
      <c r="AB36" s="27">
        <f>SUM(AB21:AB35)</f>
        <v/>
      </c>
    </row>
    <row r="37">
      <c r="B37" s="18" t="n"/>
      <c r="C37" s="18" t="n"/>
      <c r="D37" s="18" t="n"/>
      <c r="E37" s="18" t="n"/>
    </row>
    <row r="38">
      <c r="A38" s="6" t="inlineStr">
        <is>
          <t>B&amp;Q MARKETPLACE</t>
        </is>
      </c>
      <c r="B38" s="88" t="inlineStr">
        <is>
          <t>MARCH</t>
        </is>
      </c>
      <c r="C38" s="86" t="n"/>
      <c r="D38" s="86" t="n"/>
      <c r="E38" s="86" t="n"/>
      <c r="F38" s="85" t="inlineStr">
        <is>
          <t>APRIL</t>
        </is>
      </c>
      <c r="G38" s="86" t="n"/>
      <c r="H38" s="86" t="n"/>
      <c r="I38" s="86" t="n"/>
      <c r="J38" s="87" t="n"/>
      <c r="K38" s="85" t="inlineStr">
        <is>
          <t>MAY</t>
        </is>
      </c>
      <c r="L38" s="86" t="n"/>
      <c r="M38" s="86" t="n"/>
      <c r="N38" s="87" t="n"/>
      <c r="O38" s="85" t="inlineStr">
        <is>
          <t>JUNE</t>
        </is>
      </c>
      <c r="P38" s="86" t="n"/>
      <c r="Q38" s="86" t="n"/>
      <c r="R38" s="86" t="n"/>
      <c r="S38" s="87" t="n"/>
      <c r="T38" s="85" t="inlineStr">
        <is>
          <t>JULY</t>
        </is>
      </c>
      <c r="U38" s="86" t="n"/>
      <c r="V38" s="86" t="n"/>
      <c r="W38" s="87" t="n"/>
      <c r="X38" s="85" t="inlineStr">
        <is>
          <t>AUGUST</t>
        </is>
      </c>
      <c r="Y38" s="86" t="n"/>
      <c r="Z38" s="86" t="n"/>
      <c r="AA38" s="87" t="n"/>
    </row>
    <row r="39">
      <c r="A39" s="1" t="inlineStr">
        <is>
          <t>PRODUCT DESCRIPTION</t>
        </is>
      </c>
      <c r="B39" s="85" t="inlineStr">
        <is>
          <t>1st - 8th March</t>
        </is>
      </c>
      <c r="C39" s="85" t="inlineStr">
        <is>
          <t>9th - 15th March</t>
        </is>
      </c>
      <c r="D39" s="85" t="inlineStr">
        <is>
          <t>16th - 22nd March</t>
        </is>
      </c>
      <c r="E39" s="85" t="inlineStr">
        <is>
          <t>23rd - 29th March</t>
        </is>
      </c>
      <c r="F39" s="85" t="inlineStr">
        <is>
          <t>30th March - 5th April</t>
        </is>
      </c>
      <c r="G39" s="85" t="inlineStr">
        <is>
          <t>6th-12th April</t>
        </is>
      </c>
      <c r="H39" s="85" t="inlineStr">
        <is>
          <t>13th - 19th April</t>
        </is>
      </c>
      <c r="I39" s="85" t="inlineStr">
        <is>
          <t>20th - 26th April</t>
        </is>
      </c>
      <c r="J39" s="9" t="inlineStr">
        <is>
          <t>27th April - 3rd May</t>
        </is>
      </c>
      <c r="K39" s="85" t="inlineStr">
        <is>
          <t>4th - 10th May</t>
        </is>
      </c>
      <c r="L39" s="85" t="inlineStr">
        <is>
          <t>11th - 17th May</t>
        </is>
      </c>
      <c r="M39" s="88" t="inlineStr">
        <is>
          <t>18th - 24th May</t>
        </is>
      </c>
      <c r="N39" s="85" t="inlineStr">
        <is>
          <t>25th - 31st May</t>
        </is>
      </c>
      <c r="O39" s="85" t="inlineStr">
        <is>
          <t>1st-7th June</t>
        </is>
      </c>
      <c r="P39" s="85" t="inlineStr">
        <is>
          <t>8th-14th June</t>
        </is>
      </c>
      <c r="Q39" s="85" t="inlineStr">
        <is>
          <t>15th-21st June</t>
        </is>
      </c>
      <c r="R39" s="85" t="inlineStr">
        <is>
          <t>22nd-28th June</t>
        </is>
      </c>
      <c r="S39" s="85" t="inlineStr">
        <is>
          <t>29th June-5th July</t>
        </is>
      </c>
      <c r="T39" s="85" t="inlineStr">
        <is>
          <t>6th - 12th July</t>
        </is>
      </c>
      <c r="U39" s="85" t="inlineStr">
        <is>
          <t>13th - 19th July</t>
        </is>
      </c>
      <c r="V39" s="85" t="inlineStr">
        <is>
          <t>20th - 26th July</t>
        </is>
      </c>
      <c r="W39" s="85" t="inlineStr">
        <is>
          <t>27th July - 2nd Aug</t>
        </is>
      </c>
      <c r="X39" s="85" t="inlineStr">
        <is>
          <t>3rd-9th Aug</t>
        </is>
      </c>
      <c r="Y39" s="85" t="inlineStr">
        <is>
          <t>10th-16th Aug</t>
        </is>
      </c>
      <c r="Z39" s="85" t="inlineStr">
        <is>
          <t>17th-23rd Aug</t>
        </is>
      </c>
      <c r="AA39" s="85" t="inlineStr">
        <is>
          <t>24th-30th Aug</t>
        </is>
      </c>
      <c r="AB39" s="26" t="inlineStr">
        <is>
          <t>TOTAL</t>
        </is>
      </c>
      <c r="AD39" s="70" t="inlineStr">
        <is>
          <t xml:space="preserve">OVERALL TOTAL SOLD </t>
        </is>
      </c>
    </row>
    <row r="40" ht="15.65" customHeight="1">
      <c r="A40" s="28" t="inlineStr">
        <is>
          <t>Heavy Duty Storage Box - 270L / Taupe</t>
        </is>
      </c>
      <c r="B40" s="34" t="n"/>
      <c r="C40" s="12" t="n">
        <v>1</v>
      </c>
      <c r="D40" s="12" t="n">
        <v>1</v>
      </c>
      <c r="E40" s="12" t="n">
        <v>0</v>
      </c>
      <c r="F40" s="13" t="n">
        <v>2</v>
      </c>
      <c r="G40" s="13" t="n">
        <v>1</v>
      </c>
      <c r="H40" s="13" t="n">
        <v>3</v>
      </c>
      <c r="I40" s="13" t="n">
        <v>1</v>
      </c>
      <c r="J40" s="13" t="n">
        <v>2</v>
      </c>
      <c r="K40" s="13" t="n">
        <v>2</v>
      </c>
      <c r="L40" s="13" t="n">
        <v>3</v>
      </c>
      <c r="M40" s="25" t="n">
        <v>5</v>
      </c>
      <c r="N40" s="13" t="n">
        <v>2</v>
      </c>
      <c r="O40" s="14" t="n">
        <v>2</v>
      </c>
      <c r="P40" s="14" t="n">
        <v>3</v>
      </c>
      <c r="Q40" s="14" t="n">
        <v>6</v>
      </c>
      <c r="R40" s="14" t="n">
        <v>3</v>
      </c>
      <c r="S40" s="14" t="n">
        <v>5</v>
      </c>
      <c r="T40" s="14" t="n">
        <v>2</v>
      </c>
      <c r="U40" s="14" t="n">
        <v>6</v>
      </c>
      <c r="V40" s="14" t="n">
        <v>3</v>
      </c>
      <c r="W40" s="14" t="n"/>
      <c r="X40" s="14" t="n"/>
      <c r="Y40" s="14" t="n"/>
      <c r="Z40" s="14" t="n"/>
      <c r="AA40" s="14" t="n"/>
      <c r="AB40" s="14">
        <f>SUM(B40:AA40)</f>
        <v/>
      </c>
      <c r="AD40" s="13">
        <f>AB21+AB40</f>
        <v/>
      </c>
    </row>
    <row r="41" ht="15.65" customHeight="1">
      <c r="A41" s="28" t="inlineStr">
        <is>
          <t>Heavy Duty Storage Box - 450L / Taupe</t>
        </is>
      </c>
      <c r="B41" s="34" t="n"/>
      <c r="C41" s="12" t="n">
        <v>0</v>
      </c>
      <c r="D41" s="12" t="n">
        <v>2</v>
      </c>
      <c r="E41" s="12" t="n">
        <v>2</v>
      </c>
      <c r="F41" s="13" t="n">
        <v>2</v>
      </c>
      <c r="G41" s="13" t="n">
        <v>1</v>
      </c>
      <c r="H41" s="13" t="n">
        <v>2</v>
      </c>
      <c r="I41" s="13" t="n">
        <v>1</v>
      </c>
      <c r="J41" s="13" t="n">
        <v>3</v>
      </c>
      <c r="K41" s="13" t="n">
        <v>4</v>
      </c>
      <c r="L41" s="13" t="n">
        <v>1</v>
      </c>
      <c r="M41" s="25" t="n">
        <v>3</v>
      </c>
      <c r="N41" s="13" t="n">
        <v>3</v>
      </c>
      <c r="O41" s="14" t="n">
        <v>3</v>
      </c>
      <c r="P41" s="14" t="n">
        <v>6</v>
      </c>
      <c r="Q41" s="14" t="n">
        <v>2</v>
      </c>
      <c r="R41" s="14" t="n">
        <v>3</v>
      </c>
      <c r="S41" s="14" t="n">
        <v>0</v>
      </c>
      <c r="T41" s="14" t="n">
        <v>1</v>
      </c>
      <c r="U41" s="14" t="n">
        <v>2</v>
      </c>
      <c r="V41" s="14" t="n">
        <v>2</v>
      </c>
      <c r="W41" s="14" t="n"/>
      <c r="X41" s="14" t="n"/>
      <c r="Y41" s="14" t="n"/>
      <c r="Z41" s="14" t="n"/>
      <c r="AA41" s="14" t="n"/>
      <c r="AB41" s="14">
        <f>SUM(B41:AA41)</f>
        <v/>
      </c>
      <c r="AD41" s="13">
        <f>AB22+AB41</f>
        <v/>
      </c>
    </row>
    <row r="42" ht="15.65" customHeight="1">
      <c r="A42" s="29" t="inlineStr">
        <is>
          <t>Heavy Duty Storage Box - 680L / Black</t>
        </is>
      </c>
      <c r="B42" s="34" t="n"/>
      <c r="C42" s="12" t="n">
        <v>0</v>
      </c>
      <c r="D42" s="12" t="n">
        <v>1</v>
      </c>
      <c r="E42" s="12" t="n">
        <v>1</v>
      </c>
      <c r="F42" s="13" t="n">
        <v>1</v>
      </c>
      <c r="G42" s="13" t="n">
        <v>3</v>
      </c>
      <c r="H42" s="13" t="n">
        <v>4</v>
      </c>
      <c r="I42" s="13" t="n">
        <v>2</v>
      </c>
      <c r="J42" s="13" t="n">
        <v>3</v>
      </c>
      <c r="K42" s="13" t="n">
        <v>3</v>
      </c>
      <c r="L42" s="13" t="n">
        <v>5</v>
      </c>
      <c r="M42" s="25" t="n">
        <v>4</v>
      </c>
      <c r="N42" s="13" t="n">
        <v>20</v>
      </c>
      <c r="O42" s="14" t="n">
        <v>10</v>
      </c>
      <c r="P42" s="14" t="n">
        <v>4</v>
      </c>
      <c r="Q42" s="14" t="n">
        <v>2</v>
      </c>
      <c r="R42" s="14" t="n">
        <v>0</v>
      </c>
      <c r="S42" s="14" t="n">
        <v>0</v>
      </c>
      <c r="T42" s="14" t="n">
        <v>7</v>
      </c>
      <c r="U42" s="14" t="n">
        <v>2</v>
      </c>
      <c r="V42" s="14" t="n">
        <v>10</v>
      </c>
      <c r="W42" s="14" t="n"/>
      <c r="X42" s="14" t="n"/>
      <c r="Y42" s="14" t="n"/>
      <c r="Z42" s="14" t="n"/>
      <c r="AA42" s="14" t="n"/>
      <c r="AB42" s="14">
        <f>SUM(B42:AA42)</f>
        <v/>
      </c>
      <c r="AD42" s="13">
        <f>AB23+AB42</f>
        <v/>
      </c>
    </row>
    <row r="43" ht="15.65" customHeight="1">
      <c r="A43" s="28" t="inlineStr">
        <is>
          <t>Heavy Duty Storage Box - 680L / Taupe</t>
        </is>
      </c>
      <c r="B43" s="34" t="n"/>
      <c r="C43" s="12" t="n">
        <v>0</v>
      </c>
      <c r="D43" s="12" t="n">
        <v>1</v>
      </c>
      <c r="E43" s="12" t="n">
        <v>2</v>
      </c>
      <c r="F43" s="13" t="n">
        <v>0</v>
      </c>
      <c r="G43" s="13" t="n">
        <v>2</v>
      </c>
      <c r="H43" s="13" t="n">
        <v>2</v>
      </c>
      <c r="I43" s="13" t="n">
        <v>5</v>
      </c>
      <c r="J43" s="13" t="n">
        <v>6</v>
      </c>
      <c r="K43" s="13" t="n">
        <v>8</v>
      </c>
      <c r="L43" s="13" t="n">
        <v>4</v>
      </c>
      <c r="M43" s="25" t="n">
        <v>5</v>
      </c>
      <c r="N43" s="13" t="n">
        <v>11</v>
      </c>
      <c r="O43" s="14" t="n">
        <v>7</v>
      </c>
      <c r="P43" s="14" t="n">
        <v>3</v>
      </c>
      <c r="Q43" s="14" t="n">
        <v>13</v>
      </c>
      <c r="R43" s="14" t="n">
        <v>6</v>
      </c>
      <c r="S43" s="14" t="n">
        <v>2</v>
      </c>
      <c r="T43" s="14" t="n">
        <v>4</v>
      </c>
      <c r="U43" s="14" t="n">
        <v>6</v>
      </c>
      <c r="V43" s="14" t="n">
        <v>8</v>
      </c>
      <c r="W43" s="14" t="n"/>
      <c r="X43" s="14" t="n"/>
      <c r="Y43" s="14" t="n"/>
      <c r="Z43" s="14" t="n"/>
      <c r="AA43" s="14" t="n"/>
      <c r="AB43" s="14">
        <f>SUM(B43:AA43)</f>
        <v/>
      </c>
      <c r="AD43" s="13">
        <f>AB24+AB43</f>
        <v/>
      </c>
    </row>
    <row r="44" ht="15.65" customHeight="1">
      <c r="A44" s="29" t="inlineStr">
        <is>
          <t>Heavy Duty Storage Box - 870L / Black</t>
        </is>
      </c>
      <c r="B44" s="34" t="n"/>
      <c r="C44" s="12" t="n">
        <v>0</v>
      </c>
      <c r="D44" s="12" t="n">
        <v>0</v>
      </c>
      <c r="E44" s="12" t="n">
        <v>2</v>
      </c>
      <c r="F44" s="13" t="n">
        <v>4</v>
      </c>
      <c r="G44" s="13" t="n">
        <v>11</v>
      </c>
      <c r="H44" s="13" t="n">
        <v>8</v>
      </c>
      <c r="I44" s="13" t="n">
        <v>22</v>
      </c>
      <c r="J44" s="13" t="n">
        <v>11</v>
      </c>
      <c r="K44" s="13" t="n">
        <v>4</v>
      </c>
      <c r="L44" s="13" t="n">
        <v>5</v>
      </c>
      <c r="M44" s="48" t="n">
        <v>0</v>
      </c>
      <c r="N44" s="13" t="n">
        <v>0</v>
      </c>
      <c r="O44" s="14" t="n">
        <v>0</v>
      </c>
      <c r="P44" s="14" t="n">
        <v>0</v>
      </c>
      <c r="Q44" s="14" t="n">
        <v>0</v>
      </c>
      <c r="R44" s="14" t="n">
        <v>0</v>
      </c>
      <c r="S44" s="14" t="n">
        <v>4</v>
      </c>
      <c r="T44" s="14" t="n">
        <v>5</v>
      </c>
      <c r="U44" s="14" t="n">
        <v>10</v>
      </c>
      <c r="V44" s="14" t="n">
        <v>14</v>
      </c>
      <c r="W44" s="14" t="n">
        <v>25</v>
      </c>
      <c r="X44" s="14" t="n"/>
      <c r="Y44" s="14" t="n"/>
      <c r="Z44" s="14" t="n"/>
      <c r="AA44" s="14" t="n"/>
      <c r="AB44" s="14">
        <f>SUM(B44:AA44)</f>
        <v/>
      </c>
      <c r="AD44" s="13">
        <f>AB25+AB44</f>
        <v/>
      </c>
    </row>
    <row r="45" ht="15.65" customHeight="1">
      <c r="A45" s="28" t="inlineStr">
        <is>
          <t>Heavy Duty Storage Box - 870L / Taupe</t>
        </is>
      </c>
      <c r="B45" s="34" t="n"/>
      <c r="C45" s="12" t="n">
        <v>0</v>
      </c>
      <c r="D45" s="12" t="n">
        <v>1</v>
      </c>
      <c r="E45" s="12" t="n">
        <v>2</v>
      </c>
      <c r="F45" s="13" t="n">
        <v>0</v>
      </c>
      <c r="G45" s="13" t="n">
        <v>4</v>
      </c>
      <c r="H45" s="13" t="n">
        <v>5</v>
      </c>
      <c r="I45" s="13" t="n">
        <v>10</v>
      </c>
      <c r="J45" s="13" t="n">
        <v>6</v>
      </c>
      <c r="K45" s="13" t="n">
        <v>14</v>
      </c>
      <c r="L45" s="13" t="n">
        <v>18</v>
      </c>
      <c r="M45" s="25" t="n">
        <v>6</v>
      </c>
      <c r="N45" s="13" t="n">
        <v>2</v>
      </c>
      <c r="O45" s="14" t="n">
        <v>0</v>
      </c>
      <c r="P45" s="14" t="n">
        <v>0</v>
      </c>
      <c r="Q45" s="14" t="n">
        <v>6</v>
      </c>
      <c r="R45" s="14" t="n">
        <v>0</v>
      </c>
      <c r="S45" s="14" t="n">
        <v>6</v>
      </c>
      <c r="T45" s="14" t="n">
        <v>1</v>
      </c>
      <c r="U45" s="14" t="n">
        <v>5</v>
      </c>
      <c r="V45" s="14" t="n">
        <v>9</v>
      </c>
      <c r="W45" s="14" t="n"/>
      <c r="X45" s="14" t="n"/>
      <c r="Y45" s="14" t="n"/>
      <c r="Z45" s="14" t="n"/>
      <c r="AA45" s="14" t="n"/>
      <c r="AB45" s="14">
        <f>SUM(B45:AA45)</f>
        <v/>
      </c>
      <c r="AD45" s="13">
        <f>AB26+AB45</f>
        <v/>
      </c>
    </row>
    <row r="46" ht="15.65" customHeight="1">
      <c r="A46" s="29" t="inlineStr">
        <is>
          <t>Heavy Duty Storage Box - 980L / Black</t>
        </is>
      </c>
      <c r="B46" s="34" t="n"/>
      <c r="C46" s="12" t="n">
        <v>0</v>
      </c>
      <c r="D46" s="48" t="n">
        <v>0</v>
      </c>
      <c r="E46" s="67" t="n">
        <v>1</v>
      </c>
      <c r="F46" s="13" t="n">
        <v>6</v>
      </c>
      <c r="G46" s="13" t="n">
        <v>6</v>
      </c>
      <c r="H46" s="13" t="n">
        <v>8</v>
      </c>
      <c r="I46" s="13" t="n">
        <v>9</v>
      </c>
      <c r="J46" s="13" t="n">
        <v>17</v>
      </c>
      <c r="K46" s="13" t="n">
        <v>3</v>
      </c>
      <c r="L46" s="13" t="n">
        <v>9</v>
      </c>
      <c r="M46" s="25" t="n">
        <v>5</v>
      </c>
      <c r="N46" s="13" t="n">
        <v>1</v>
      </c>
      <c r="O46" s="14" t="n">
        <v>0</v>
      </c>
      <c r="P46" s="14" t="n">
        <v>0</v>
      </c>
      <c r="Q46" s="14" t="n">
        <v>5</v>
      </c>
      <c r="R46" s="14" t="n">
        <v>0</v>
      </c>
      <c r="S46" s="14" t="n">
        <v>2</v>
      </c>
      <c r="T46" s="14" t="n">
        <v>20</v>
      </c>
      <c r="U46" s="14" t="n">
        <v>19</v>
      </c>
      <c r="V46" s="14" t="n">
        <v>15</v>
      </c>
      <c r="W46" s="14" t="n"/>
      <c r="X46" s="14" t="n"/>
      <c r="Y46" s="14" t="n"/>
      <c r="Z46" s="14" t="n"/>
      <c r="AA46" s="14" t="n"/>
      <c r="AB46" s="14">
        <f>SUM(B46:AA46)</f>
        <v/>
      </c>
      <c r="AD46" s="13">
        <f>AB27+AB46</f>
        <v/>
      </c>
    </row>
    <row r="47" ht="15.65" customHeight="1">
      <c r="A47" s="28" t="inlineStr">
        <is>
          <t>Heavy Duty Storage Box - 980L / Taupe</t>
        </is>
      </c>
      <c r="B47" s="34" t="n"/>
      <c r="C47" s="12" t="n">
        <v>0</v>
      </c>
      <c r="D47" s="12" t="n">
        <v>3</v>
      </c>
      <c r="E47" s="12" t="n">
        <v>3</v>
      </c>
      <c r="F47" s="13" t="n">
        <v>1</v>
      </c>
      <c r="G47" s="13" t="n">
        <v>2</v>
      </c>
      <c r="H47" s="13" t="n">
        <v>10</v>
      </c>
      <c r="I47" s="13" t="n">
        <v>12</v>
      </c>
      <c r="J47" s="13" t="n">
        <v>15</v>
      </c>
      <c r="K47" s="13" t="n">
        <v>8</v>
      </c>
      <c r="L47" s="13" t="n">
        <v>7</v>
      </c>
      <c r="M47" s="25" t="n">
        <v>0</v>
      </c>
      <c r="N47" s="13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4</v>
      </c>
      <c r="T47" s="14" t="n">
        <v>16</v>
      </c>
      <c r="U47" s="14" t="n">
        <v>15</v>
      </c>
      <c r="V47" s="14" t="n">
        <v>26</v>
      </c>
      <c r="W47" s="14" t="n"/>
      <c r="X47" s="14" t="n"/>
      <c r="Y47" s="14" t="n"/>
      <c r="Z47" s="14" t="n"/>
      <c r="AA47" s="14" t="n"/>
      <c r="AB47" s="14">
        <f>SUM(B47:AA47)</f>
        <v/>
      </c>
      <c r="AD47" s="13">
        <f>AB28+AB47</f>
        <v/>
      </c>
    </row>
    <row r="48" ht="15.65" customHeight="1">
      <c r="A48" s="30" t="inlineStr">
        <is>
          <t>L Premium Metal Storage Box - 683L / Green</t>
        </is>
      </c>
      <c r="B48" s="34" t="n"/>
      <c r="C48" s="12" t="n">
        <v>0</v>
      </c>
      <c r="D48" s="12" t="n">
        <v>0</v>
      </c>
      <c r="E48" s="12" t="n">
        <v>0</v>
      </c>
      <c r="F48" s="13" t="n">
        <v>0</v>
      </c>
      <c r="G48" s="13" t="n">
        <v>0</v>
      </c>
      <c r="H48" s="13" t="n">
        <v>0</v>
      </c>
      <c r="I48" s="13" t="n">
        <v>0</v>
      </c>
      <c r="J48" s="13" t="n">
        <v>0</v>
      </c>
      <c r="K48" s="13" t="n">
        <v>1</v>
      </c>
      <c r="L48" s="13" t="n">
        <v>0</v>
      </c>
      <c r="M48" s="25" t="n">
        <v>0</v>
      </c>
      <c r="N48" s="13" t="n">
        <v>0</v>
      </c>
      <c r="O48" s="14" t="n">
        <v>1</v>
      </c>
      <c r="P48" s="14" t="n">
        <v>2</v>
      </c>
      <c r="Q48" s="14" t="n">
        <v>1</v>
      </c>
      <c r="R48" s="14" t="n">
        <v>0</v>
      </c>
      <c r="S48" s="14" t="n">
        <v>0</v>
      </c>
      <c r="T48" s="14" t="n">
        <v>0</v>
      </c>
      <c r="U48" s="14" t="n">
        <v>1</v>
      </c>
      <c r="V48" s="14" t="n">
        <v>0</v>
      </c>
      <c r="W48" s="14" t="n"/>
      <c r="X48" s="14" t="n"/>
      <c r="Y48" s="14" t="n"/>
      <c r="Z48" s="14" t="n"/>
      <c r="AA48" s="14" t="n"/>
      <c r="AB48" s="14">
        <f>SUM(B48:AA48)</f>
        <v/>
      </c>
      <c r="AD48" s="13">
        <f>AB29+AB48</f>
        <v/>
      </c>
    </row>
    <row r="49" ht="15.65" customHeight="1">
      <c r="A49" s="30" t="inlineStr">
        <is>
          <t>L Premium Metal Storage Box - 683L / Grey</t>
        </is>
      </c>
      <c r="B49" s="34" t="n"/>
      <c r="C49" s="12" t="n">
        <v>0</v>
      </c>
      <c r="D49" s="12" t="n">
        <v>0</v>
      </c>
      <c r="E49" s="12" t="n">
        <v>0</v>
      </c>
      <c r="F49" s="13" t="n">
        <v>0</v>
      </c>
      <c r="G49" s="13" t="n">
        <v>0</v>
      </c>
      <c r="H49" s="13" t="n">
        <v>0</v>
      </c>
      <c r="I49" s="13" t="n">
        <v>0</v>
      </c>
      <c r="J49" s="13" t="n">
        <v>0</v>
      </c>
      <c r="K49" s="13" t="n">
        <v>0</v>
      </c>
      <c r="L49" s="13" t="n">
        <v>0</v>
      </c>
      <c r="M49" s="25" t="n">
        <v>0</v>
      </c>
      <c r="N49" s="13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/>
      <c r="X49" s="14" t="n"/>
      <c r="Y49" s="14" t="n"/>
      <c r="Z49" s="14" t="n"/>
      <c r="AA49" s="14" t="n"/>
      <c r="AB49" s="14">
        <f>SUM(B49:AA49)</f>
        <v/>
      </c>
      <c r="AD49" s="13">
        <f>AB30+AB49</f>
        <v/>
      </c>
    </row>
    <row r="50" ht="15.65" customHeight="1">
      <c r="A50" s="30" t="inlineStr">
        <is>
          <t>XL Premium Metal Storage Box - 1056L / Green</t>
        </is>
      </c>
      <c r="B50" s="34" t="n"/>
      <c r="C50" s="12" t="n">
        <v>0</v>
      </c>
      <c r="D50" s="12" t="n">
        <v>0</v>
      </c>
      <c r="E50" s="12" t="n">
        <v>0</v>
      </c>
      <c r="F50" s="13" t="n">
        <v>0</v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0</v>
      </c>
      <c r="L50" s="13" t="n">
        <v>0</v>
      </c>
      <c r="M50" s="25" t="n">
        <v>1</v>
      </c>
      <c r="N50" s="13" t="n">
        <v>1</v>
      </c>
      <c r="O50" s="14" t="n">
        <v>0</v>
      </c>
      <c r="P50" s="14" t="n">
        <v>1</v>
      </c>
      <c r="Q50" s="14" t="n">
        <v>0</v>
      </c>
      <c r="R50" s="14" t="n">
        <v>1</v>
      </c>
      <c r="S50" s="14" t="n">
        <v>0</v>
      </c>
      <c r="T50" s="14" t="n">
        <v>0</v>
      </c>
      <c r="U50" s="14" t="n">
        <v>1</v>
      </c>
      <c r="V50" s="14" t="n">
        <v>0</v>
      </c>
      <c r="W50" s="14" t="n"/>
      <c r="X50" s="14" t="n"/>
      <c r="Y50" s="14" t="n"/>
      <c r="Z50" s="14" t="n"/>
      <c r="AA50" s="14" t="n"/>
      <c r="AB50" s="14">
        <f>SUM(B50:AA50)</f>
        <v/>
      </c>
      <c r="AD50" s="13">
        <f>AB31+AB50</f>
        <v/>
      </c>
    </row>
    <row r="51" ht="15.65" customHeight="1">
      <c r="A51" s="30" t="inlineStr">
        <is>
          <t>XL Premium Metal Storage Box - 1056L / Grey</t>
        </is>
      </c>
      <c r="B51" s="34" t="n"/>
      <c r="C51" s="12" t="n">
        <v>0</v>
      </c>
      <c r="D51" s="12" t="n">
        <v>0</v>
      </c>
      <c r="E51" s="12" t="n">
        <v>0</v>
      </c>
      <c r="F51" s="13" t="n">
        <v>0</v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0</v>
      </c>
      <c r="L51" s="13" t="n">
        <v>0</v>
      </c>
      <c r="M51" s="25" t="n">
        <v>0</v>
      </c>
      <c r="N51" s="13" t="n">
        <v>0</v>
      </c>
      <c r="O51" s="14" t="n">
        <v>0</v>
      </c>
      <c r="P51" s="14" t="n">
        <v>1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0</v>
      </c>
      <c r="V51" s="14" t="n">
        <v>0</v>
      </c>
      <c r="W51" s="14" t="n"/>
      <c r="X51" s="14" t="n"/>
      <c r="Y51" s="14" t="n"/>
      <c r="Z51" s="14" t="n"/>
      <c r="AA51" s="14" t="n"/>
      <c r="AB51" s="14">
        <f>SUM(B51:AA51)</f>
        <v/>
      </c>
      <c r="AD51" s="13">
        <f>AB32+AB51</f>
        <v/>
      </c>
    </row>
    <row r="52" ht="15" customHeight="1">
      <c r="A52" s="28" t="inlineStr">
        <is>
          <t>3m Luxury Hydraulic Parasol with 45kg Base and Cover - Grey</t>
        </is>
      </c>
      <c r="B52" s="34" t="n"/>
      <c r="C52" s="12" t="n">
        <v>0</v>
      </c>
      <c r="D52" s="12" t="n">
        <v>0</v>
      </c>
      <c r="E52" s="12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2</v>
      </c>
      <c r="N52" s="13" t="n">
        <v>1</v>
      </c>
      <c r="O52" s="14" t="n">
        <v>1</v>
      </c>
      <c r="P52" s="14" t="n">
        <v>0</v>
      </c>
      <c r="Q52" s="14" t="n">
        <v>3</v>
      </c>
      <c r="R52" s="14" t="n">
        <v>2</v>
      </c>
      <c r="S52" s="14" t="n">
        <v>1</v>
      </c>
      <c r="T52" s="14" t="n">
        <v>0</v>
      </c>
      <c r="U52" s="14" t="n">
        <v>0</v>
      </c>
      <c r="V52" s="14" t="n">
        <v>0</v>
      </c>
      <c r="W52" s="14" t="n"/>
      <c r="X52" s="14" t="n"/>
      <c r="Y52" s="14" t="n"/>
      <c r="Z52" s="14" t="n"/>
      <c r="AA52" s="14" t="n"/>
      <c r="AB52" s="14">
        <f>SUM(B52:AA52)</f>
        <v/>
      </c>
      <c r="AD52" s="13">
        <f>AB33+AB52</f>
        <v/>
      </c>
    </row>
    <row r="53" ht="15" customHeight="1">
      <c r="A53" s="28" t="inlineStr">
        <is>
          <t>3m Luxury Hydraulic Parasol with 45kg Base and Cover - Natural</t>
        </is>
      </c>
      <c r="B53" s="34" t="n"/>
      <c r="C53" s="12" t="n">
        <v>0</v>
      </c>
      <c r="D53" s="12" t="n">
        <v>0</v>
      </c>
      <c r="E53" s="12" t="n">
        <v>0</v>
      </c>
      <c r="F53" s="13" t="n">
        <v>0</v>
      </c>
      <c r="G53" s="13" t="n">
        <v>0</v>
      </c>
      <c r="H53" s="13" t="n">
        <v>0</v>
      </c>
      <c r="I53" s="13" t="n">
        <v>0</v>
      </c>
      <c r="J53" s="13" t="n">
        <v>0</v>
      </c>
      <c r="K53" s="13" t="n">
        <v>1</v>
      </c>
      <c r="L53" s="13" t="n">
        <v>0</v>
      </c>
      <c r="M53" s="13" t="n">
        <v>7</v>
      </c>
      <c r="N53" s="13" t="n">
        <v>1</v>
      </c>
      <c r="O53" s="14" t="n">
        <v>3</v>
      </c>
      <c r="P53" s="14" t="n">
        <v>1</v>
      </c>
      <c r="Q53" s="14" t="n">
        <v>1</v>
      </c>
      <c r="R53" s="14" t="n">
        <v>2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/>
      <c r="X53" s="14" t="n"/>
      <c r="Y53" s="14" t="n"/>
      <c r="Z53" s="14" t="n"/>
      <c r="AA53" s="14" t="n"/>
      <c r="AB53" s="14">
        <f>SUM(B53:AA53)</f>
        <v/>
      </c>
      <c r="AD53" s="13">
        <f>AB34+AB53</f>
        <v/>
      </c>
    </row>
    <row r="54" ht="15" customHeight="1">
      <c r="A54" s="28" t="inlineStr">
        <is>
          <t>Premium Pop Up Gazebo With Sides</t>
        </is>
      </c>
      <c r="B54" s="34" t="n"/>
      <c r="C54" s="12" t="n">
        <v>0</v>
      </c>
      <c r="D54" s="12" t="n">
        <v>0</v>
      </c>
      <c r="E54" s="12" t="n">
        <v>0</v>
      </c>
      <c r="F54" s="13" t="n">
        <v>0</v>
      </c>
      <c r="G54" s="13" t="n">
        <v>0</v>
      </c>
      <c r="H54" s="13" t="n">
        <v>1</v>
      </c>
      <c r="I54" s="13" t="n">
        <v>0</v>
      </c>
      <c r="J54" s="13" t="n">
        <v>1</v>
      </c>
      <c r="K54" s="13" t="n">
        <v>0</v>
      </c>
      <c r="L54" s="13" t="n">
        <v>1</v>
      </c>
      <c r="M54" s="13" t="n">
        <v>0</v>
      </c>
      <c r="N54" s="13" t="n">
        <v>0</v>
      </c>
      <c r="O54" s="14" t="n">
        <v>0</v>
      </c>
      <c r="P54" s="14" t="n">
        <v>0</v>
      </c>
      <c r="Q54" s="14" t="n">
        <v>0</v>
      </c>
      <c r="R54" s="14" t="n">
        <v>0</v>
      </c>
      <c r="S54" s="14" t="n">
        <v>0</v>
      </c>
      <c r="T54" s="14" t="n">
        <v>0</v>
      </c>
      <c r="U54" s="14" t="n">
        <v>0</v>
      </c>
      <c r="V54" s="14" t="n">
        <v>2</v>
      </c>
      <c r="W54" s="14" t="n"/>
      <c r="X54" s="14" t="n"/>
      <c r="Y54" s="14" t="n"/>
      <c r="Z54" s="14" t="n"/>
      <c r="AA54" s="14" t="n"/>
      <c r="AB54" s="14">
        <f>SUM(B54:AA54)</f>
        <v/>
      </c>
      <c r="AD54" s="13">
        <f>AB35+AB54</f>
        <v/>
      </c>
    </row>
    <row r="55">
      <c r="A55" s="15" t="inlineStr">
        <is>
          <t>TOTAL</t>
        </is>
      </c>
      <c r="B55" s="16">
        <f>SUM(B40:B47)</f>
        <v/>
      </c>
      <c r="C55" s="16">
        <f>SUM(C40:C47)</f>
        <v/>
      </c>
      <c r="D55" s="16">
        <f>SUM(D40:D54)</f>
        <v/>
      </c>
      <c r="E55" s="16">
        <f>SUM(E40:E54)</f>
        <v/>
      </c>
      <c r="F55" s="16">
        <f>SUM(F40:F54)</f>
        <v/>
      </c>
      <c r="G55" s="16">
        <f>SUM(G40:G54)</f>
        <v/>
      </c>
      <c r="H55" s="16">
        <f>SUM(H40:H54)</f>
        <v/>
      </c>
      <c r="I55" s="16">
        <f>SUM(I40:I54)</f>
        <v/>
      </c>
      <c r="J55" s="16">
        <f>SUM(J40:J54)</f>
        <v/>
      </c>
      <c r="K55" s="17">
        <f>SUM(K40:K54)</f>
        <v/>
      </c>
      <c r="L55" s="17">
        <f>SUM(L40:L54)</f>
        <v/>
      </c>
      <c r="M55" s="17">
        <f>SUM(M40:M54)</f>
        <v/>
      </c>
      <c r="N55" s="17">
        <f>SUM(N40:N54)</f>
        <v/>
      </c>
      <c r="O55" s="17">
        <f>SUM(O40:O54)</f>
        <v/>
      </c>
      <c r="P55" s="17">
        <f>SUM(P40:P54)</f>
        <v/>
      </c>
      <c r="Q55" s="17">
        <f>SUM(Q40:Q54)</f>
        <v/>
      </c>
      <c r="R55" s="17">
        <f>SUM(R40:R54)</f>
        <v/>
      </c>
      <c r="S55" s="17">
        <f>SUM(S40:S54)</f>
        <v/>
      </c>
      <c r="T55" s="17">
        <f>SUM(T40:T54)</f>
        <v/>
      </c>
      <c r="U55" s="17">
        <f>SUM(U40:U54)</f>
        <v/>
      </c>
      <c r="V55" s="17">
        <f>SUM(V40:V54)</f>
        <v/>
      </c>
      <c r="W55" s="17">
        <f>SUM(W40:W54)</f>
        <v/>
      </c>
      <c r="X55" s="17">
        <f>SUM(X40:X54)</f>
        <v/>
      </c>
      <c r="Y55" s="17">
        <f>SUM(Y40:Y54)</f>
        <v/>
      </c>
      <c r="Z55" s="17">
        <f>SUM(Z40:Z54)</f>
        <v/>
      </c>
      <c r="AA55" s="17">
        <f>SUM(AA40:AA54)</f>
        <v/>
      </c>
      <c r="AB55" s="17">
        <f>SUM(AB40:AB54)</f>
        <v/>
      </c>
      <c r="AD55" s="80">
        <f>SUM(AD40:AD54)</f>
        <v/>
      </c>
    </row>
    <row r="58" ht="18" customFormat="1" customHeight="1" s="21">
      <c r="A58" s="19" t="inlineStr">
        <is>
          <t>GRAND TOTAL</t>
        </is>
      </c>
      <c r="B58" s="20">
        <f>B36+B55</f>
        <v/>
      </c>
      <c r="C58" s="20">
        <f>C36+C55</f>
        <v/>
      </c>
      <c r="D58" s="20">
        <f>D36+D55</f>
        <v/>
      </c>
      <c r="E58" s="20">
        <f>E36+E55</f>
        <v/>
      </c>
      <c r="F58" s="20">
        <f>F36+F55</f>
        <v/>
      </c>
      <c r="G58" s="20">
        <f>G36+G55</f>
        <v/>
      </c>
      <c r="H58" s="20">
        <f>H36+H55</f>
        <v/>
      </c>
      <c r="I58" s="20">
        <f>I36+I55</f>
        <v/>
      </c>
      <c r="J58" s="20">
        <f>J36+J55</f>
        <v/>
      </c>
      <c r="K58" s="20">
        <f>K36+K55</f>
        <v/>
      </c>
      <c r="L58" s="20">
        <f>L36+L55</f>
        <v/>
      </c>
      <c r="M58" s="20">
        <f>M36+M55</f>
        <v/>
      </c>
      <c r="N58" s="20">
        <f>N36+N55</f>
        <v/>
      </c>
      <c r="O58" s="20">
        <f>O36+O55</f>
        <v/>
      </c>
      <c r="P58" s="20">
        <f>P36+P55</f>
        <v/>
      </c>
      <c r="Q58" s="20">
        <f>Q36+Q55</f>
        <v/>
      </c>
      <c r="R58" s="20">
        <f>R36+R55</f>
        <v/>
      </c>
      <c r="S58" s="20">
        <f>S36+S55</f>
        <v/>
      </c>
      <c r="T58" s="20">
        <f>T36+T55</f>
        <v/>
      </c>
      <c r="U58" s="20">
        <f>U36+U55</f>
        <v/>
      </c>
      <c r="V58" s="20">
        <f>V36+V55</f>
        <v/>
      </c>
      <c r="W58" s="20">
        <f>W36+W55</f>
        <v/>
      </c>
      <c r="X58" s="20">
        <f>X36+X55</f>
        <v/>
      </c>
      <c r="Y58" s="20">
        <f>Y36+Y55</f>
        <v/>
      </c>
      <c r="Z58" s="20">
        <f>Z36+Z55</f>
        <v/>
      </c>
      <c r="AA58" s="20">
        <f>AA36+AA55</f>
        <v/>
      </c>
      <c r="AB58" s="20">
        <f>AB36+AB55</f>
        <v/>
      </c>
    </row>
    <row r="62">
      <c r="A62" s="6" t="inlineStr">
        <is>
          <t>JOHN LEWIS</t>
        </is>
      </c>
      <c r="B62" s="88" t="inlineStr">
        <is>
          <t>MARCH</t>
        </is>
      </c>
      <c r="C62" s="86" t="n"/>
      <c r="D62" s="86" t="n"/>
      <c r="E62" s="86" t="n"/>
      <c r="F62" s="85" t="inlineStr">
        <is>
          <t>APRIL</t>
        </is>
      </c>
      <c r="G62" s="86" t="n"/>
      <c r="H62" s="86" t="n"/>
      <c r="I62" s="86" t="n"/>
      <c r="J62" s="87" t="n"/>
      <c r="K62" s="85" t="inlineStr">
        <is>
          <t>MAY</t>
        </is>
      </c>
      <c r="L62" s="86" t="n"/>
      <c r="M62" s="86" t="n"/>
      <c r="N62" s="87" t="n"/>
      <c r="O62" s="85" t="inlineStr">
        <is>
          <t>JUNE</t>
        </is>
      </c>
      <c r="P62" s="86" t="n"/>
      <c r="Q62" s="86" t="n"/>
      <c r="R62" s="86" t="n"/>
      <c r="S62" s="87" t="n"/>
      <c r="T62" s="85" t="inlineStr">
        <is>
          <t>JULY</t>
        </is>
      </c>
      <c r="U62" s="86" t="n"/>
      <c r="V62" s="86" t="n"/>
      <c r="W62" s="87" t="n"/>
      <c r="X62" s="85" t="inlineStr">
        <is>
          <t>AUGUST</t>
        </is>
      </c>
      <c r="Y62" s="86" t="n"/>
      <c r="Z62" s="86" t="n"/>
      <c r="AA62" s="87" t="n"/>
    </row>
    <row r="63">
      <c r="A63" s="1" t="inlineStr">
        <is>
          <t>PRODUCT DESCRIPTION</t>
        </is>
      </c>
      <c r="B63" s="85" t="inlineStr">
        <is>
          <t>1st - 8th March</t>
        </is>
      </c>
      <c r="C63" s="85" t="inlineStr">
        <is>
          <t>9th - 15th March</t>
        </is>
      </c>
      <c r="D63" s="85" t="inlineStr">
        <is>
          <t>16th - 22nd March</t>
        </is>
      </c>
      <c r="E63" s="85" t="inlineStr">
        <is>
          <t>23rd - 31st March</t>
        </is>
      </c>
      <c r="F63" s="85" t="inlineStr">
        <is>
          <t>1st - 5th April</t>
        </is>
      </c>
      <c r="G63" s="85" t="inlineStr">
        <is>
          <t>6th-12th April</t>
        </is>
      </c>
      <c r="H63" s="85" t="inlineStr">
        <is>
          <t>13th - 19th April</t>
        </is>
      </c>
      <c r="I63" s="85" t="inlineStr">
        <is>
          <t>20th - 26th April</t>
        </is>
      </c>
      <c r="J63" s="9" t="inlineStr">
        <is>
          <t>27th April - 3rd May</t>
        </is>
      </c>
      <c r="K63" s="85" t="inlineStr">
        <is>
          <t>4th - 10th May</t>
        </is>
      </c>
      <c r="L63" s="85" t="inlineStr">
        <is>
          <t>11th - 17th May</t>
        </is>
      </c>
      <c r="M63" s="88" t="inlineStr">
        <is>
          <t>18th - 24th May</t>
        </is>
      </c>
      <c r="N63" s="85" t="inlineStr">
        <is>
          <t>25th - 31st May</t>
        </is>
      </c>
      <c r="O63" s="85" t="inlineStr">
        <is>
          <t>1st-7th June</t>
        </is>
      </c>
      <c r="P63" s="85" t="inlineStr">
        <is>
          <t>8th-14th June</t>
        </is>
      </c>
      <c r="Q63" s="85" t="inlineStr">
        <is>
          <t>15th-21st June</t>
        </is>
      </c>
      <c r="R63" s="85" t="inlineStr">
        <is>
          <t>22nd-28th June</t>
        </is>
      </c>
      <c r="S63" s="85" t="inlineStr">
        <is>
          <t>29th June-5th July</t>
        </is>
      </c>
      <c r="T63" s="85" t="inlineStr">
        <is>
          <t>6th - 12th July</t>
        </is>
      </c>
      <c r="U63" s="85" t="inlineStr">
        <is>
          <t>13th - 19th July</t>
        </is>
      </c>
      <c r="V63" s="85" t="inlineStr">
        <is>
          <t>20th - 26th July</t>
        </is>
      </c>
      <c r="W63" s="85" t="inlineStr">
        <is>
          <t>27th July - 2nd Aug</t>
        </is>
      </c>
      <c r="X63" s="85" t="inlineStr">
        <is>
          <t>3rd-9th Aug</t>
        </is>
      </c>
      <c r="Y63" s="85" t="inlineStr">
        <is>
          <t>10th-16th Aug</t>
        </is>
      </c>
      <c r="Z63" s="85" t="inlineStr">
        <is>
          <t>17th-23rd Aug</t>
        </is>
      </c>
      <c r="AA63" s="85" t="inlineStr">
        <is>
          <t>24th-30th Aug</t>
        </is>
      </c>
      <c r="AB63" s="11" t="inlineStr">
        <is>
          <t>TOTAL</t>
        </is>
      </c>
    </row>
    <row r="64" ht="15.65" customHeight="1">
      <c r="A64" s="28" t="inlineStr">
        <is>
          <t>Heavy Duty Storage Box - 270L / Taupe</t>
        </is>
      </c>
      <c r="B64" s="35">
        <f>B21*($B$3/1.2)</f>
        <v/>
      </c>
      <c r="C64" s="35">
        <f>C21*($B$3/1.2)</f>
        <v/>
      </c>
      <c r="D64" s="35">
        <f>D21*($B$3/1.2)</f>
        <v/>
      </c>
      <c r="E64" s="35">
        <f>E21*($B$3/1.2)</f>
        <v/>
      </c>
      <c r="F64" s="35">
        <f>F21*($B$3/1.2)</f>
        <v/>
      </c>
      <c r="G64" s="35">
        <f>G21*($B$3/1.2)</f>
        <v/>
      </c>
      <c r="H64" s="35">
        <f>H21*($B$3/1.2)</f>
        <v/>
      </c>
      <c r="I64" s="35">
        <f>I21*($B$3/1.2)</f>
        <v/>
      </c>
      <c r="J64" s="22">
        <f>J21*($B$3/1.2)</f>
        <v/>
      </c>
      <c r="K64" s="22">
        <f>K21*($B$3/1.2)</f>
        <v/>
      </c>
      <c r="L64" s="22">
        <f>L21*($B$3/1.2)</f>
        <v/>
      </c>
      <c r="M64" s="22">
        <f>M21*($B$3/1.2)</f>
        <v/>
      </c>
      <c r="N64" s="22">
        <f>N21*($B$3/1.2)</f>
        <v/>
      </c>
      <c r="O64" s="22">
        <f>O21*($B$3/1.2)</f>
        <v/>
      </c>
      <c r="P64" s="22">
        <f>P21*($B$3/1.2)</f>
        <v/>
      </c>
      <c r="Q64" s="22">
        <f>Q21*($B$3/1.2)</f>
        <v/>
      </c>
      <c r="R64" s="22">
        <f>R21*($B$3/1.2)</f>
        <v/>
      </c>
      <c r="S64" s="22">
        <f>S21*($B$3/1.2)</f>
        <v/>
      </c>
      <c r="T64" s="22">
        <f>T21*($B$3/1.2)</f>
        <v/>
      </c>
      <c r="U64" s="22">
        <f>U21*($B$3/1.2)</f>
        <v/>
      </c>
      <c r="V64" s="22">
        <f>V21*($B$3/1.2)</f>
        <v/>
      </c>
      <c r="W64" s="22">
        <f>W21*($B$3/1.2)</f>
        <v/>
      </c>
      <c r="X64" s="22">
        <f>X21*($B$3/1.2)</f>
        <v/>
      </c>
      <c r="Y64" s="22">
        <f>Y21*($B$3/1.2)</f>
        <v/>
      </c>
      <c r="Z64" s="22">
        <f>Z21*($B$3/1.2)</f>
        <v/>
      </c>
      <c r="AA64" s="22">
        <f>AA21*($B$3/1.2)</f>
        <v/>
      </c>
      <c r="AB64" s="22">
        <f>SUM(B64:AA64)</f>
        <v/>
      </c>
    </row>
    <row r="65" ht="15.65" customHeight="1">
      <c r="A65" s="28" t="inlineStr">
        <is>
          <t>Heavy Duty Storage Box - 450L / Taupe</t>
        </is>
      </c>
      <c r="B65" s="35">
        <f>B22*($B$4/1.2)</f>
        <v/>
      </c>
      <c r="C65" s="35">
        <f>C22*($B$4/1.2)</f>
        <v/>
      </c>
      <c r="D65" s="35">
        <f>D22*($B$4/1.2)</f>
        <v/>
      </c>
      <c r="E65" s="35">
        <f>E22*($B$4/1.2)</f>
        <v/>
      </c>
      <c r="F65" s="35">
        <f>F22*($B$4/1.2)</f>
        <v/>
      </c>
      <c r="G65" s="35">
        <f>G22*($B$4/1.2)</f>
        <v/>
      </c>
      <c r="H65" s="35">
        <f>H22*($B$4/1.2)</f>
        <v/>
      </c>
      <c r="I65" s="35">
        <f>I22*($B$4/1.2)</f>
        <v/>
      </c>
      <c r="J65" s="22">
        <f>J22*($B$4/1.2)</f>
        <v/>
      </c>
      <c r="K65" s="22">
        <f>K22*($B$4/1.2)</f>
        <v/>
      </c>
      <c r="L65" s="22">
        <f>L22*($B$4/1.2)</f>
        <v/>
      </c>
      <c r="M65" s="22">
        <f>M22*($B$4/1.2)</f>
        <v/>
      </c>
      <c r="N65" s="22">
        <f>N22*($B$4/1.2)</f>
        <v/>
      </c>
      <c r="O65" s="22">
        <f>O22*($B$4/1.2)</f>
        <v/>
      </c>
      <c r="P65" s="22">
        <f>P22*($B$4/1.2)</f>
        <v/>
      </c>
      <c r="Q65" s="22">
        <f>Q22*($B$4/1.2)</f>
        <v/>
      </c>
      <c r="R65" s="22">
        <f>R22*($B$4/1.2)</f>
        <v/>
      </c>
      <c r="S65" s="22">
        <f>S22*($B$4/1.2)</f>
        <v/>
      </c>
      <c r="T65" s="22">
        <f>T22*($B$4/1.2)</f>
        <v/>
      </c>
      <c r="U65" s="22">
        <f>U22*($B$4/1.2)</f>
        <v/>
      </c>
      <c r="V65" s="22">
        <f>V22*($B$4/1.2)</f>
        <v/>
      </c>
      <c r="W65" s="22">
        <f>W22*($B$4/1.2)</f>
        <v/>
      </c>
      <c r="X65" s="22">
        <f>X22*($B$4/1.2)</f>
        <v/>
      </c>
      <c r="Y65" s="22">
        <f>Y22*($B$4/1.2)</f>
        <v/>
      </c>
      <c r="Z65" s="22">
        <f>Z22*($B$4/1.2)</f>
        <v/>
      </c>
      <c r="AA65" s="22">
        <f>AA22*($B$4/1.2)</f>
        <v/>
      </c>
      <c r="AB65" s="22">
        <f>SUM(B65:AA65)</f>
        <v/>
      </c>
    </row>
    <row r="66" ht="15.65" customHeight="1">
      <c r="A66" s="29" t="inlineStr">
        <is>
          <t>Heavy Duty Storage Box - 680L / Black</t>
        </is>
      </c>
      <c r="B66" s="35">
        <f>B23*($B$5/1.2)</f>
        <v/>
      </c>
      <c r="C66" s="35">
        <f>C23*($B$5/1.2)</f>
        <v/>
      </c>
      <c r="D66" s="35">
        <f>D23*($B$5/1.2)</f>
        <v/>
      </c>
      <c r="E66" s="35">
        <f>E23*($B$5/1.2)</f>
        <v/>
      </c>
      <c r="F66" s="35">
        <f>F23*($B$5/1.2)</f>
        <v/>
      </c>
      <c r="G66" s="35">
        <f>G23*($B$5/1.2)</f>
        <v/>
      </c>
      <c r="H66" s="35">
        <f>H23*($B$5/1.2)</f>
        <v/>
      </c>
      <c r="I66" s="35">
        <f>I23*($B$5/1.2)</f>
        <v/>
      </c>
      <c r="J66" s="22">
        <f>J23*($B$5/1.2)</f>
        <v/>
      </c>
      <c r="K66" s="22">
        <f>K23*($B$5/1.2)</f>
        <v/>
      </c>
      <c r="L66" s="22">
        <f>L23*($B$5/1.2)</f>
        <v/>
      </c>
      <c r="M66" s="22">
        <f>M23*($B$5/1.2)</f>
        <v/>
      </c>
      <c r="N66" s="22">
        <f>N23*($B$5/1.2)</f>
        <v/>
      </c>
      <c r="O66" s="22">
        <f>O23*($B$5/1.2)</f>
        <v/>
      </c>
      <c r="P66" s="22">
        <f>P23*($B$5/1.2)</f>
        <v/>
      </c>
      <c r="Q66" s="22">
        <f>Q23*($B$5/1.2)</f>
        <v/>
      </c>
      <c r="R66" s="22">
        <f>R23*($B$5/1.2)</f>
        <v/>
      </c>
      <c r="S66" s="22">
        <f>S23*($B$5/1.2)</f>
        <v/>
      </c>
      <c r="T66" s="22">
        <f>T23*($B$5/1.2)</f>
        <v/>
      </c>
      <c r="U66" s="22">
        <f>U23*($B$5/1.2)</f>
        <v/>
      </c>
      <c r="V66" s="22">
        <f>V23*($B$5/1.2)</f>
        <v/>
      </c>
      <c r="W66" s="22">
        <f>W23*($B$5/1.2)</f>
        <v/>
      </c>
      <c r="X66" s="22">
        <f>X23*($B$5/1.2)</f>
        <v/>
      </c>
      <c r="Y66" s="22">
        <f>Y23*($B$5/1.2)</f>
        <v/>
      </c>
      <c r="Z66" s="22">
        <f>Z23*($B$5/1.2)</f>
        <v/>
      </c>
      <c r="AA66" s="22">
        <f>AA23*($B$5/1.2)</f>
        <v/>
      </c>
      <c r="AB66" s="22">
        <f>SUM(B66:AA66)</f>
        <v/>
      </c>
    </row>
    <row r="67" ht="15.65" customHeight="1">
      <c r="A67" s="28" t="inlineStr">
        <is>
          <t>Heavy Duty Storage Box - 680L / Taupe</t>
        </is>
      </c>
      <c r="B67" s="35">
        <f>B24*($B$6/1.2)</f>
        <v/>
      </c>
      <c r="C67" s="35">
        <f>C24*($B$6/1.2)</f>
        <v/>
      </c>
      <c r="D67" s="35">
        <f>D24*($B$6/1.2)</f>
        <v/>
      </c>
      <c r="E67" s="35">
        <f>E24*($B$6/1.2)</f>
        <v/>
      </c>
      <c r="F67" s="35">
        <f>F24*($B$6/1.2)</f>
        <v/>
      </c>
      <c r="G67" s="35">
        <f>G24*($B$6/1.2)</f>
        <v/>
      </c>
      <c r="H67" s="35">
        <f>H24*($B$6/1.2)</f>
        <v/>
      </c>
      <c r="I67" s="35">
        <f>I24*($B$6/1.2)</f>
        <v/>
      </c>
      <c r="J67" s="22">
        <f>J24*($B$6/1.2)</f>
        <v/>
      </c>
      <c r="K67" s="22">
        <f>K24*($B$6/1.2)</f>
        <v/>
      </c>
      <c r="L67" s="22">
        <f>L24*($B$6/1.2)</f>
        <v/>
      </c>
      <c r="M67" s="22">
        <f>M24*($B$6/1.2)</f>
        <v/>
      </c>
      <c r="N67" s="22">
        <f>N24*($B$6/1.2)</f>
        <v/>
      </c>
      <c r="O67" s="22">
        <f>O24*($B$6/1.2)</f>
        <v/>
      </c>
      <c r="P67" s="22">
        <f>P24*($B$6/1.2)</f>
        <v/>
      </c>
      <c r="Q67" s="22">
        <f>Q24*($B$6/1.2)</f>
        <v/>
      </c>
      <c r="R67" s="22">
        <f>R24*($B$6/1.2)</f>
        <v/>
      </c>
      <c r="S67" s="22">
        <f>S24*($B$6/1.2)</f>
        <v/>
      </c>
      <c r="T67" s="22">
        <f>T24*($B$6/1.2)</f>
        <v/>
      </c>
      <c r="U67" s="22">
        <f>U24*($B$6/1.2)</f>
        <v/>
      </c>
      <c r="V67" s="22">
        <f>V24*($B$6/1.2)</f>
        <v/>
      </c>
      <c r="W67" s="22">
        <f>W24*($B$6/1.2)</f>
        <v/>
      </c>
      <c r="X67" s="22">
        <f>X24*($B$6/1.2)</f>
        <v/>
      </c>
      <c r="Y67" s="22">
        <f>Y24*($B$6/1.2)</f>
        <v/>
      </c>
      <c r="Z67" s="22">
        <f>Z24*($B$6/1.2)</f>
        <v/>
      </c>
      <c r="AA67" s="22">
        <f>AA24*($B$6/1.2)</f>
        <v/>
      </c>
      <c r="AB67" s="22">
        <f>SUM(B67:AA67)</f>
        <v/>
      </c>
    </row>
    <row r="68" ht="15.65" customHeight="1">
      <c r="A68" s="29" t="inlineStr">
        <is>
          <t>Heavy Duty Storage Box - 870L / Black</t>
        </is>
      </c>
      <c r="B68" s="35">
        <f>B25*($B$8/1.2)</f>
        <v/>
      </c>
      <c r="C68" s="35">
        <f>C25*($B$8/1.2)</f>
        <v/>
      </c>
      <c r="D68" s="35">
        <f>D25*($B$8/1.2)</f>
        <v/>
      </c>
      <c r="E68" s="35">
        <f>E25*($B$7/1.2)</f>
        <v/>
      </c>
      <c r="F68" s="35">
        <f>F25*($B$7/1.2)</f>
        <v/>
      </c>
      <c r="G68" s="35">
        <f>G25*($B$7/1.2)</f>
        <v/>
      </c>
      <c r="H68" s="35">
        <f>H25*($B$7/1.2)</f>
        <v/>
      </c>
      <c r="I68" s="35">
        <f>I25*($B$7/1.2)</f>
        <v/>
      </c>
      <c r="J68" s="22">
        <f>J25*($B$7/1.2)</f>
        <v/>
      </c>
      <c r="K68" s="22">
        <f>K25*($B$7/1.2)</f>
        <v/>
      </c>
      <c r="L68" s="22">
        <f>L25*($B$7/1.2)</f>
        <v/>
      </c>
      <c r="M68" s="22">
        <f>M26*($B$7/1.2)</f>
        <v/>
      </c>
      <c r="N68" s="22">
        <f>N25*($B$7/1.2)</f>
        <v/>
      </c>
      <c r="O68" s="22">
        <f>O25*($B$7/1.2)</f>
        <v/>
      </c>
      <c r="P68" s="22">
        <f>P25*($B$7/1.2)</f>
        <v/>
      </c>
      <c r="Q68" s="22">
        <f>Q25*($B$7/1.2)</f>
        <v/>
      </c>
      <c r="R68" s="22">
        <f>R25*($B$7/1.2)</f>
        <v/>
      </c>
      <c r="S68" s="22">
        <f>S25*($B$7/1.2)</f>
        <v/>
      </c>
      <c r="T68" s="22">
        <f>T25*($B$7/1.2)</f>
        <v/>
      </c>
      <c r="U68" s="22">
        <f>U25*($B$7/1.2)</f>
        <v/>
      </c>
      <c r="V68" s="22">
        <f>V25*($B$7/1.2)</f>
        <v/>
      </c>
      <c r="W68" s="22">
        <f>W25*($B$7/1.2)</f>
        <v/>
      </c>
      <c r="X68" s="22">
        <f>X25*($B$7/1.2)</f>
        <v/>
      </c>
      <c r="Y68" s="22">
        <f>Y25*($B$7/1.2)</f>
        <v/>
      </c>
      <c r="Z68" s="22">
        <f>Z25*($B$7/1.2)</f>
        <v/>
      </c>
      <c r="AA68" s="22">
        <f>AA25*($B$7/1.2)</f>
        <v/>
      </c>
      <c r="AB68" s="22">
        <f>SUM(B68:AA68)</f>
        <v/>
      </c>
    </row>
    <row r="69" ht="15.65" customHeight="1">
      <c r="A69" s="28" t="inlineStr">
        <is>
          <t>Heavy Duty Storage Box - 870L / Taupe</t>
        </is>
      </c>
      <c r="B69" s="35">
        <f>B26*($B$8/1.2)</f>
        <v/>
      </c>
      <c r="C69" s="35">
        <f>C26*($B$8/1.2)</f>
        <v/>
      </c>
      <c r="D69" s="35">
        <f>D26*($B$8/1.2)</f>
        <v/>
      </c>
      <c r="E69" s="35">
        <f>E26*($B$8/1.2)</f>
        <v/>
      </c>
      <c r="F69" s="35">
        <f>F26*($B$8/1.2)</f>
        <v/>
      </c>
      <c r="G69" s="35">
        <f>G26*($B$8/1.2)</f>
        <v/>
      </c>
      <c r="H69" s="35">
        <f>H26*($B$8/1.2)</f>
        <v/>
      </c>
      <c r="I69" s="35">
        <f>I26*($B$8/1.2)</f>
        <v/>
      </c>
      <c r="J69" s="22">
        <f>J26*($B$8/1.2)</f>
        <v/>
      </c>
      <c r="K69" s="22">
        <f>K26*($B$8/1.2)</f>
        <v/>
      </c>
      <c r="L69" s="22">
        <f>L26*($B$8/1.2)</f>
        <v/>
      </c>
      <c r="M69" s="22">
        <f>M27*($B$7/1.2)</f>
        <v/>
      </c>
      <c r="N69" s="22">
        <f>N26*($B$8/1.2)</f>
        <v/>
      </c>
      <c r="O69" s="22">
        <f>O26*($B$8/1.2)</f>
        <v/>
      </c>
      <c r="P69" s="22">
        <f>P26*($B$8/1.2)</f>
        <v/>
      </c>
      <c r="Q69" s="22">
        <f>Q26*($B$8/1.2)</f>
        <v/>
      </c>
      <c r="R69" s="22">
        <f>R26*($B$8/1.2)</f>
        <v/>
      </c>
      <c r="S69" s="22">
        <f>S26*($B$8/1.2)</f>
        <v/>
      </c>
      <c r="T69" s="22">
        <f>T26*($B$8/1.2)</f>
        <v/>
      </c>
      <c r="U69" s="22">
        <f>U26*($B$8/1.2)</f>
        <v/>
      </c>
      <c r="V69" s="22">
        <f>V26*($B$8/1.2)</f>
        <v/>
      </c>
      <c r="W69" s="22">
        <f>W26*($B$8/1.2)</f>
        <v/>
      </c>
      <c r="X69" s="22">
        <f>X26*($B$8/1.2)</f>
        <v/>
      </c>
      <c r="Y69" s="22">
        <f>Y26*($B$8/1.2)</f>
        <v/>
      </c>
      <c r="Z69" s="22">
        <f>Z26*($B$8/1.2)</f>
        <v/>
      </c>
      <c r="AA69" s="22">
        <f>AA26*($B$8/1.2)</f>
        <v/>
      </c>
      <c r="AB69" s="22">
        <f>SUM(B69:AA69)</f>
        <v/>
      </c>
    </row>
    <row r="70" ht="15.65" customHeight="1">
      <c r="A70" s="29" t="inlineStr">
        <is>
          <t>Heavy Duty Storage Box - 980L / Black</t>
        </is>
      </c>
      <c r="B70" s="35">
        <f>B27*($B$8/1.2)</f>
        <v/>
      </c>
      <c r="C70" s="35">
        <f>C27*($B$8/1.2)</f>
        <v/>
      </c>
      <c r="D70" s="35">
        <f>D27*($B$8/1.2)</f>
        <v/>
      </c>
      <c r="E70" s="35">
        <f>E27*($B$9/1.2)</f>
        <v/>
      </c>
      <c r="F70" s="35">
        <f>F27*($B$9/1.2)</f>
        <v/>
      </c>
      <c r="G70" s="35">
        <f>G27*($B$9/1.2)</f>
        <v/>
      </c>
      <c r="H70" s="35">
        <f>H27*($B$9/1.2)</f>
        <v/>
      </c>
      <c r="I70" s="35">
        <f>I27*($B$9/1.2)</f>
        <v/>
      </c>
      <c r="J70" s="22">
        <f>J27*($B$9/1.2)</f>
        <v/>
      </c>
      <c r="K70" s="22">
        <f>K27*($B$9/1.2)</f>
        <v/>
      </c>
      <c r="L70" s="22">
        <f>L27*($B$9/1.2)</f>
        <v/>
      </c>
      <c r="M70" s="22">
        <f>M27*($B$9/1.2)</f>
        <v/>
      </c>
      <c r="N70" s="22">
        <f>N27*($B$9/1.2)</f>
        <v/>
      </c>
      <c r="O70" s="22">
        <f>O27*($B$9/1.2)</f>
        <v/>
      </c>
      <c r="P70" s="22">
        <f>P27*($B$9/1.2)</f>
        <v/>
      </c>
      <c r="Q70" s="22">
        <f>Q27*($B$9/1.2)</f>
        <v/>
      </c>
      <c r="R70" s="22">
        <f>R28*($B$9/1.2)</f>
        <v/>
      </c>
      <c r="S70" s="22">
        <f>S28*($B$9/1.2)</f>
        <v/>
      </c>
      <c r="T70" s="22">
        <f>T28*($B$9/1.2)</f>
        <v/>
      </c>
      <c r="U70" s="22">
        <f>U28*($B$9/1.2)</f>
        <v/>
      </c>
      <c r="V70" s="22">
        <f>V28*($B$9/1.2)</f>
        <v/>
      </c>
      <c r="W70" s="22">
        <f>W28*($B$9/1.2)</f>
        <v/>
      </c>
      <c r="X70" s="22">
        <f>X28*($B$9/1.2)</f>
        <v/>
      </c>
      <c r="Y70" s="22">
        <f>Y28*($B$9/1.2)</f>
        <v/>
      </c>
      <c r="Z70" s="22">
        <f>Z28*($B$9/1.2)</f>
        <v/>
      </c>
      <c r="AA70" s="22">
        <f>AA28*($B$9/1.2)</f>
        <v/>
      </c>
      <c r="AB70" s="22">
        <f>SUM(B70:AA70)</f>
        <v/>
      </c>
    </row>
    <row r="71" ht="15.65" customHeight="1">
      <c r="A71" s="28" t="inlineStr">
        <is>
          <t>Heavy Duty Storage Box - 980L / Taupe</t>
        </is>
      </c>
      <c r="B71" s="35">
        <f>B28*($B$8/1.2)</f>
        <v/>
      </c>
      <c r="C71" s="35">
        <f>C28*($B$8/1.2)</f>
        <v/>
      </c>
      <c r="D71" s="35">
        <f>D28*($B$8/1.2)</f>
        <v/>
      </c>
      <c r="E71" s="35">
        <f>E28*($B$10/1.2)</f>
        <v/>
      </c>
      <c r="F71" s="35">
        <f>F28*($B$10/1.2)</f>
        <v/>
      </c>
      <c r="G71" s="35">
        <f>G28*($B$10/1.2)</f>
        <v/>
      </c>
      <c r="H71" s="35">
        <f>H28*($B$10/1.2)</f>
        <v/>
      </c>
      <c r="I71" s="35">
        <f>I28*($B$10/1.2)</f>
        <v/>
      </c>
      <c r="J71" s="22">
        <f>J28*($B$10/1.2)</f>
        <v/>
      </c>
      <c r="K71" s="22">
        <f>K28*($B$10/1.2)</f>
        <v/>
      </c>
      <c r="L71" s="22">
        <f>L28*($B$10/1.2)</f>
        <v/>
      </c>
      <c r="M71" s="22">
        <f>M28*($B$10/1.2)</f>
        <v/>
      </c>
      <c r="N71" s="22">
        <f>N28*($B$10/1.2)</f>
        <v/>
      </c>
      <c r="O71" s="22">
        <f>O28*($B$10/1.2)</f>
        <v/>
      </c>
      <c r="P71" s="22">
        <f>P28*($B$10/1.2)</f>
        <v/>
      </c>
      <c r="Q71" s="22">
        <f>Q28*($B$10/1.2)</f>
        <v/>
      </c>
      <c r="R71" s="22">
        <f>R28*($B$10/1.2)</f>
        <v/>
      </c>
      <c r="S71" s="22">
        <f>S28*($B$10/1.2)</f>
        <v/>
      </c>
      <c r="T71" s="22">
        <f>T28*($B$10/1.2)</f>
        <v/>
      </c>
      <c r="U71" s="22">
        <f>U28*($B$10/1.2)</f>
        <v/>
      </c>
      <c r="V71" s="22">
        <f>V28*($B$10/1.2)</f>
        <v/>
      </c>
      <c r="W71" s="22">
        <f>W28*($B$10/1.2)</f>
        <v/>
      </c>
      <c r="X71" s="22">
        <f>X28*($B$10/1.2)</f>
        <v/>
      </c>
      <c r="Y71" s="22">
        <f>Y28*($B$10/1.2)</f>
        <v/>
      </c>
      <c r="Z71" s="22">
        <f>Z28*($B$10/1.2)</f>
        <v/>
      </c>
      <c r="AA71" s="22">
        <f>AA28*($B$10/1.2)</f>
        <v/>
      </c>
      <c r="AB71" s="22">
        <f>SUM(B71:AA71)</f>
        <v/>
      </c>
    </row>
    <row r="72" ht="15.65" customHeight="1">
      <c r="A72" s="30" t="inlineStr">
        <is>
          <t>L Premium Metal Storage Box - 683L / Green</t>
        </is>
      </c>
      <c r="B72" s="35">
        <f>B29*($B$8/1.2)</f>
        <v/>
      </c>
      <c r="C72" s="35">
        <f>C29*($B$8/1.2)</f>
        <v/>
      </c>
      <c r="D72" s="35">
        <f>D29*($B$8/1.2)</f>
        <v/>
      </c>
      <c r="E72" s="35">
        <f>E29*($B11/1.2)</f>
        <v/>
      </c>
      <c r="F72" s="35">
        <f>F29*($B11/1.2)</f>
        <v/>
      </c>
      <c r="G72" s="35">
        <f>G29*($B11/1.2)</f>
        <v/>
      </c>
      <c r="H72" s="35">
        <f>H29*($B11/1.2)</f>
        <v/>
      </c>
      <c r="I72" s="35">
        <f>I29*($B11/1.2)</f>
        <v/>
      </c>
      <c r="J72" s="22">
        <f>J29*($B11/1.2)</f>
        <v/>
      </c>
      <c r="K72" s="22">
        <f>K29*($B11/1.2)</f>
        <v/>
      </c>
      <c r="L72" s="22">
        <f>L29*($B11/1.2)</f>
        <v/>
      </c>
      <c r="M72" s="22">
        <f>M29*($B11/1.2)</f>
        <v/>
      </c>
      <c r="N72" s="22">
        <f>N29*($B11/1.2)</f>
        <v/>
      </c>
      <c r="O72" s="22">
        <f>O29*($B11/1.2)</f>
        <v/>
      </c>
      <c r="P72" s="22">
        <f>P29*($B11/1.2)</f>
        <v/>
      </c>
      <c r="Q72" s="22">
        <f>Q29*($B11/1.2)</f>
        <v/>
      </c>
      <c r="R72" s="22">
        <f>R29*($B11/1.2)</f>
        <v/>
      </c>
      <c r="S72" s="22">
        <f>S29*($B11/1.2)</f>
        <v/>
      </c>
      <c r="T72" s="22">
        <f>T29*($B11/1.2)</f>
        <v/>
      </c>
      <c r="U72" s="22">
        <f>U29*($B11/1.2)</f>
        <v/>
      </c>
      <c r="V72" s="22">
        <f>V29*($B11/1.2)</f>
        <v/>
      </c>
      <c r="W72" s="22">
        <f>W29*($B11/1.2)</f>
        <v/>
      </c>
      <c r="X72" s="22">
        <f>X29*($B11/1.2)</f>
        <v/>
      </c>
      <c r="Y72" s="22">
        <f>Y29*($B11/1.2)</f>
        <v/>
      </c>
      <c r="Z72" s="22">
        <f>Z29*($B11/1.2)</f>
        <v/>
      </c>
      <c r="AA72" s="22">
        <f>AA29*($B11/1.2)</f>
        <v/>
      </c>
      <c r="AB72" s="22">
        <f>SUM(B72:AA72)</f>
        <v/>
      </c>
    </row>
    <row r="73" ht="15.65" customHeight="1">
      <c r="A73" s="30" t="inlineStr">
        <is>
          <t>L Premium Metal Storage Box - 683L / Grey</t>
        </is>
      </c>
      <c r="B73" s="35">
        <f>B30*($B$8/1.2)</f>
        <v/>
      </c>
      <c r="C73" s="35">
        <f>C30*($B$8/1.2)</f>
        <v/>
      </c>
      <c r="D73" s="35">
        <f>D30*($B$8/1.2)</f>
        <v/>
      </c>
      <c r="E73" s="35">
        <f>E30*($B$12/1.2)</f>
        <v/>
      </c>
      <c r="F73" s="35">
        <f>F30*($B$12/1.2)</f>
        <v/>
      </c>
      <c r="G73" s="35">
        <f>G30*($B$12/1.2)</f>
        <v/>
      </c>
      <c r="H73" s="35">
        <f>H30*($B$12/1.2)</f>
        <v/>
      </c>
      <c r="I73" s="35">
        <f>I30*($B$12/1.2)</f>
        <v/>
      </c>
      <c r="J73" s="22">
        <f>J30*($B$12/1.2)</f>
        <v/>
      </c>
      <c r="K73" s="22">
        <f>K30*($B$12/1.2)</f>
        <v/>
      </c>
      <c r="L73" s="22">
        <f>L30*($B$12/1.2)</f>
        <v/>
      </c>
      <c r="M73" s="22">
        <f>M30*($B$12/1.2)</f>
        <v/>
      </c>
      <c r="N73" s="22">
        <f>N30*($B$12/1.2)</f>
        <v/>
      </c>
      <c r="O73" s="22">
        <f>O30*($B$12/1.2)</f>
        <v/>
      </c>
      <c r="P73" s="22">
        <f>P30*($B$12/1.2)</f>
        <v/>
      </c>
      <c r="Q73" s="22">
        <f>Q30*($B$12/1.2)</f>
        <v/>
      </c>
      <c r="R73" s="22">
        <f>R30*($B$12/1.2)</f>
        <v/>
      </c>
      <c r="S73" s="22">
        <f>S30*($B$12/1.2)</f>
        <v/>
      </c>
      <c r="T73" s="22">
        <f>T30*($B$12/1.2)</f>
        <v/>
      </c>
      <c r="U73" s="22">
        <f>U30*($B$12/1.2)</f>
        <v/>
      </c>
      <c r="V73" s="22">
        <f>V30*($B$12/1.2)</f>
        <v/>
      </c>
      <c r="W73" s="22">
        <f>W30*($B$12/1.2)</f>
        <v/>
      </c>
      <c r="X73" s="22">
        <f>X30*($B$12/1.2)</f>
        <v/>
      </c>
      <c r="Y73" s="22">
        <f>Y30*($B$12/1.2)</f>
        <v/>
      </c>
      <c r="Z73" s="22">
        <f>Z30*($B$12/1.2)</f>
        <v/>
      </c>
      <c r="AA73" s="22">
        <f>AA30*($B$12/1.2)</f>
        <v/>
      </c>
      <c r="AB73" s="22">
        <f>SUM(B73:AA73)</f>
        <v/>
      </c>
    </row>
    <row r="74" ht="15.65" customHeight="1">
      <c r="A74" s="30" t="inlineStr">
        <is>
          <t>XL Premium Metal Storage Box - 1056L / Green</t>
        </is>
      </c>
      <c r="B74" s="35">
        <f>B31*($B$8/1.2)</f>
        <v/>
      </c>
      <c r="C74" s="35">
        <f>C31*($B$8/1.2)</f>
        <v/>
      </c>
      <c r="D74" s="35">
        <f>D31*($B$8/1.2)</f>
        <v/>
      </c>
      <c r="E74" s="35">
        <f>E31*($B$13/1.2)</f>
        <v/>
      </c>
      <c r="F74" s="35">
        <f>F31*($B$13/1.2)</f>
        <v/>
      </c>
      <c r="G74" s="35">
        <f>G31*($B$13/1.2)</f>
        <v/>
      </c>
      <c r="H74" s="35">
        <f>H31*($B$13/1.2)</f>
        <v/>
      </c>
      <c r="I74" s="35">
        <f>I31*($B$13/1.2)</f>
        <v/>
      </c>
      <c r="J74" s="22">
        <f>J31*($B$13/1.2)</f>
        <v/>
      </c>
      <c r="K74" s="22">
        <f>K31*($B$13/1.2)</f>
        <v/>
      </c>
      <c r="L74" s="22">
        <f>L31*($B$13/1.2)</f>
        <v/>
      </c>
      <c r="M74" s="22">
        <f>M31*($B$13/1.2)</f>
        <v/>
      </c>
      <c r="N74" s="22">
        <f>N31*($B$13/1.2)</f>
        <v/>
      </c>
      <c r="O74" s="22">
        <f>O31*($B$13/1.2)</f>
        <v/>
      </c>
      <c r="P74" s="22">
        <f>P31*($B$13/1.2)</f>
        <v/>
      </c>
      <c r="Q74" s="22">
        <f>Q31*($B$13/1.2)</f>
        <v/>
      </c>
      <c r="R74" s="22">
        <f>R31*($B$13/1.2)</f>
        <v/>
      </c>
      <c r="S74" s="22">
        <f>S31*($B$13/1.2)</f>
        <v/>
      </c>
      <c r="T74" s="22">
        <f>T31*($B$13/1.2)</f>
        <v/>
      </c>
      <c r="U74" s="22">
        <f>U31*($B$13/1.2)</f>
        <v/>
      </c>
      <c r="V74" s="22">
        <f>V31*($B$13/1.2)</f>
        <v/>
      </c>
      <c r="W74" s="22">
        <f>W31*($B$13/1.2)</f>
        <v/>
      </c>
      <c r="X74" s="22">
        <f>X31*($B$13/1.2)</f>
        <v/>
      </c>
      <c r="Y74" s="22">
        <f>Y31*($B$13/1.2)</f>
        <v/>
      </c>
      <c r="Z74" s="22">
        <f>Z31*($B$13/1.2)</f>
        <v/>
      </c>
      <c r="AA74" s="22">
        <f>AA31*($B$13/1.2)</f>
        <v/>
      </c>
      <c r="AB74" s="22">
        <f>SUM(B74:AA74)</f>
        <v/>
      </c>
    </row>
    <row r="75" ht="15.65" customHeight="1">
      <c r="A75" s="30" t="inlineStr">
        <is>
          <t>XL Premium Metal Storage Box - 1056L / Grey</t>
        </is>
      </c>
      <c r="B75" s="35">
        <f>B32*($B$8/1.2)</f>
        <v/>
      </c>
      <c r="C75" s="35">
        <f>C32*($B$8/1.2)</f>
        <v/>
      </c>
      <c r="D75" s="35">
        <f>D32*($B$8/1.2)</f>
        <v/>
      </c>
      <c r="E75" s="35">
        <f>E32*($B$14/1.2)</f>
        <v/>
      </c>
      <c r="F75" s="35">
        <f>F32*($B$14/1.2)</f>
        <v/>
      </c>
      <c r="G75" s="35">
        <f>G32*($B$14/1.2)</f>
        <v/>
      </c>
      <c r="H75" s="35">
        <f>H32*($B$14/1.2)</f>
        <v/>
      </c>
      <c r="I75" s="35">
        <f>I32*($B$14/1.2)</f>
        <v/>
      </c>
      <c r="J75" s="22">
        <f>J32*($B$14/1.2)</f>
        <v/>
      </c>
      <c r="K75" s="22">
        <f>K32*($B$14/1.2)</f>
        <v/>
      </c>
      <c r="L75" s="22">
        <f>L32*($B$14/1.2)</f>
        <v/>
      </c>
      <c r="M75" s="22">
        <f>M32*($B$14/1.2)</f>
        <v/>
      </c>
      <c r="N75" s="22">
        <f>N32*($B$14/1.2)</f>
        <v/>
      </c>
      <c r="O75" s="22">
        <f>O32*($B$14/1.2)</f>
        <v/>
      </c>
      <c r="P75" s="22">
        <f>P32*($B$14/1.2)</f>
        <v/>
      </c>
      <c r="Q75" s="22">
        <f>Q32*($B$14/1.2)</f>
        <v/>
      </c>
      <c r="R75" s="22">
        <f>R32*($B$14/1.2)</f>
        <v/>
      </c>
      <c r="S75" s="22">
        <f>S32*($B$14/1.2)</f>
        <v/>
      </c>
      <c r="T75" s="22">
        <f>T32*($B$14/1.2)</f>
        <v/>
      </c>
      <c r="U75" s="22">
        <f>U32*($B$14/1.2)</f>
        <v/>
      </c>
      <c r="V75" s="22">
        <f>V32*($B$14/1.2)</f>
        <v/>
      </c>
      <c r="W75" s="22">
        <f>W32*($B$14/1.2)</f>
        <v/>
      </c>
      <c r="X75" s="22">
        <f>X32*($B$14/1.2)</f>
        <v/>
      </c>
      <c r="Y75" s="22">
        <f>Y32*($B$14/1.2)</f>
        <v/>
      </c>
      <c r="Z75" s="22">
        <f>Z32*($B$14/1.2)</f>
        <v/>
      </c>
      <c r="AA75" s="22">
        <f>AA32*($B$14/1.2)</f>
        <v/>
      </c>
      <c r="AB75" s="22">
        <f>SUM(B75:AA75)</f>
        <v/>
      </c>
    </row>
    <row r="76" ht="15.65" customHeight="1">
      <c r="A76" s="28" t="inlineStr">
        <is>
          <t>3m Luxury Hydraulic Parasol with 45kg Base and Cover - Grey</t>
        </is>
      </c>
      <c r="B76" s="35">
        <f>B33*($B$8/1.2)</f>
        <v/>
      </c>
      <c r="C76" s="35">
        <f>C33*($B$8/1.2)</f>
        <v/>
      </c>
      <c r="D76" s="35">
        <f>D33*($B$8/1.2)</f>
        <v/>
      </c>
      <c r="E76" s="35">
        <f>E33*($B$15/1.2)</f>
        <v/>
      </c>
      <c r="F76" s="35">
        <f>F33*($B$15/1.2)</f>
        <v/>
      </c>
      <c r="G76" s="35">
        <f>G33*($B$15/1.2)</f>
        <v/>
      </c>
      <c r="H76" s="35">
        <f>H33*($B$15/1.2)</f>
        <v/>
      </c>
      <c r="I76" s="35">
        <f>I33*($B$15/1.2)</f>
        <v/>
      </c>
      <c r="J76" s="22">
        <f>J33*($B$15/1.2)</f>
        <v/>
      </c>
      <c r="K76" s="22">
        <f>K33*($B$15/1.2)</f>
        <v/>
      </c>
      <c r="L76" s="22">
        <f>L33*($B$15/1.2)</f>
        <v/>
      </c>
      <c r="M76" s="22">
        <f>M33*($B$15/1.2)</f>
        <v/>
      </c>
      <c r="N76" s="22">
        <f>N33*($B$15/1.2)</f>
        <v/>
      </c>
      <c r="O76" s="22">
        <f>O33*($B$15/1.2)</f>
        <v/>
      </c>
      <c r="P76" s="22">
        <f>P33*($B$15/1.2)</f>
        <v/>
      </c>
      <c r="Q76" s="22">
        <f>Q33*($B$15/1.2)</f>
        <v/>
      </c>
      <c r="R76" s="22">
        <f>R33*($B$15/1.2)</f>
        <v/>
      </c>
      <c r="S76" s="22">
        <f>S33*($B$15/1.2)</f>
        <v/>
      </c>
      <c r="T76" s="22">
        <f>T33*($B$15/1.2)</f>
        <v/>
      </c>
      <c r="U76" s="22">
        <f>U33*($B$15/1.2)</f>
        <v/>
      </c>
      <c r="V76" s="22">
        <f>V33*($B$15/1.2)</f>
        <v/>
      </c>
      <c r="W76" s="22">
        <f>W33*($B$15/1.2)</f>
        <v/>
      </c>
      <c r="X76" s="22">
        <f>X33*($B$15/1.2)</f>
        <v/>
      </c>
      <c r="Y76" s="22">
        <f>Y33*($B$15/1.2)</f>
        <v/>
      </c>
      <c r="Z76" s="22">
        <f>Z33*($B$15/1.2)</f>
        <v/>
      </c>
      <c r="AA76" s="22">
        <f>AA33*($B$15/1.2)</f>
        <v/>
      </c>
      <c r="AB76" s="22">
        <f>SUM(B76:AA76)</f>
        <v/>
      </c>
    </row>
    <row r="77" ht="15.65" customHeight="1">
      <c r="A77" s="28" t="inlineStr">
        <is>
          <t>3m Luxury Hydraulic Parasol with 45kg Base and Cover - Natural</t>
        </is>
      </c>
      <c r="B77" s="35">
        <f>B34*($B$8/1.2)</f>
        <v/>
      </c>
      <c r="C77" s="35">
        <f>C34*($B$8/1.2)</f>
        <v/>
      </c>
      <c r="D77" s="35">
        <f>D34*($B$8/1.2)</f>
        <v/>
      </c>
      <c r="E77" s="35">
        <f>E34*($B$16/1.2)</f>
        <v/>
      </c>
      <c r="F77" s="35">
        <f>F34*($B$16/1.2)</f>
        <v/>
      </c>
      <c r="G77" s="35">
        <f>G34*($B$16/1.2)</f>
        <v/>
      </c>
      <c r="H77" s="35">
        <f>H34*($B$16/1.2)</f>
        <v/>
      </c>
      <c r="I77" s="35">
        <f>I34*($B$16/1.2)</f>
        <v/>
      </c>
      <c r="J77" s="22">
        <f>J34*($B$16/1.2)</f>
        <v/>
      </c>
      <c r="K77" s="22">
        <f>K34*($B$16/1.2)</f>
        <v/>
      </c>
      <c r="L77" s="22">
        <f>L34*($B$16/1.2)</f>
        <v/>
      </c>
      <c r="M77" s="22">
        <f>M34*($B$16/1.2)</f>
        <v/>
      </c>
      <c r="N77" s="22">
        <f>N34*($B$16/1.2)</f>
        <v/>
      </c>
      <c r="O77" s="22">
        <f>O34*($B$16/1.2)</f>
        <v/>
      </c>
      <c r="P77" s="22">
        <f>P34*($B$16/1.2)</f>
        <v/>
      </c>
      <c r="Q77" s="22">
        <f>Q34*($B$16/1.2)</f>
        <v/>
      </c>
      <c r="R77" s="22">
        <f>R34*($B$16/1.2)</f>
        <v/>
      </c>
      <c r="S77" s="22">
        <f>S34*($B$16/1.2)</f>
        <v/>
      </c>
      <c r="T77" s="22">
        <f>T34*($B$16/1.2)</f>
        <v/>
      </c>
      <c r="U77" s="22">
        <f>U34*($B$16/1.2)</f>
        <v/>
      </c>
      <c r="V77" s="22">
        <f>V34*($B$16/1.2)</f>
        <v/>
      </c>
      <c r="W77" s="22">
        <f>W34*($B$16/1.2)</f>
        <v/>
      </c>
      <c r="X77" s="22">
        <f>X34*($B$16/1.2)</f>
        <v/>
      </c>
      <c r="Y77" s="22">
        <f>Y34*($B$16/1.2)</f>
        <v/>
      </c>
      <c r="Z77" s="22">
        <f>Z34*($B$16/1.2)</f>
        <v/>
      </c>
      <c r="AA77" s="22">
        <f>AA34*($B$16/1.2)</f>
        <v/>
      </c>
      <c r="AB77" s="22">
        <f>SUM(B77:AA77)</f>
        <v/>
      </c>
    </row>
    <row r="78" ht="15.65" customHeight="1">
      <c r="A78" s="28" t="inlineStr">
        <is>
          <t>Premium Pop Up Gazebo With Sides</t>
        </is>
      </c>
      <c r="B78" s="35">
        <f>B35*($B$8/1.2)</f>
        <v/>
      </c>
      <c r="C78" s="35">
        <f>C35*($B$8/1.2)</f>
        <v/>
      </c>
      <c r="D78" s="35">
        <f>D35*($B$8/1.2)</f>
        <v/>
      </c>
      <c r="E78" s="35">
        <f>E35*($B$17/1.2)</f>
        <v/>
      </c>
      <c r="F78" s="35">
        <f>F35*($B$17/1.2)</f>
        <v/>
      </c>
      <c r="G78" s="35">
        <f>G35*($B$17/1.2)</f>
        <v/>
      </c>
      <c r="H78" s="35">
        <f>H35*($B$17/1.2)</f>
        <v/>
      </c>
      <c r="I78" s="35">
        <f>I35*($B$17/1.2)</f>
        <v/>
      </c>
      <c r="J78" s="22">
        <f>J35*($B$17/1.2)</f>
        <v/>
      </c>
      <c r="K78" s="22">
        <f>K35*($B$17/1.2)</f>
        <v/>
      </c>
      <c r="L78" s="22">
        <f>L35*($B$17/1.2)</f>
        <v/>
      </c>
      <c r="M78" s="22">
        <f>M35*($B$17/1.2)</f>
        <v/>
      </c>
      <c r="N78" s="22">
        <f>N35*($B$17/1.2)</f>
        <v/>
      </c>
      <c r="O78" s="22">
        <f>O35*($B$17/1.2)</f>
        <v/>
      </c>
      <c r="P78" s="22">
        <f>P35*($B$17/1.2)</f>
        <v/>
      </c>
      <c r="Q78" s="22">
        <f>Q35*($B$17/1.2)</f>
        <v/>
      </c>
      <c r="R78" s="22">
        <f>R35*($B$17/1.2)</f>
        <v/>
      </c>
      <c r="S78" s="22">
        <f>S35*($B$17/1.2)</f>
        <v/>
      </c>
      <c r="T78" s="22">
        <f>T35*($B$17/1.2)</f>
        <v/>
      </c>
      <c r="U78" s="22">
        <f>U35*($B$17/1.2)</f>
        <v/>
      </c>
      <c r="V78" s="22">
        <f>V35*($B$17/1.2)</f>
        <v/>
      </c>
      <c r="W78" s="22">
        <f>W35*($B$17/1.2)</f>
        <v/>
      </c>
      <c r="X78" s="22">
        <f>X35*($B$17/1.2)</f>
        <v/>
      </c>
      <c r="Y78" s="22">
        <f>Y35*($B$17/1.2)</f>
        <v/>
      </c>
      <c r="Z78" s="22">
        <f>Z35*($B$17/1.2)</f>
        <v/>
      </c>
      <c r="AA78" s="22">
        <f>AA35*($B$17/1.2)</f>
        <v/>
      </c>
      <c r="AB78" s="22">
        <f>SUM(B78:AA78)</f>
        <v/>
      </c>
    </row>
    <row r="79">
      <c r="A79" s="15" t="inlineStr">
        <is>
          <t>TOTAL</t>
        </is>
      </c>
      <c r="B79" s="32">
        <f>SUM(B64:B71)</f>
        <v/>
      </c>
      <c r="C79" s="32">
        <f>SUM(C64:C71)</f>
        <v/>
      </c>
      <c r="D79" s="32">
        <f>SUM(D64:D71)</f>
        <v/>
      </c>
      <c r="E79" s="32">
        <f>SUM(E64:E71)</f>
        <v/>
      </c>
      <c r="F79" s="32">
        <f>SUM(F64:F71)</f>
        <v/>
      </c>
      <c r="G79" s="32" t="n"/>
      <c r="H79" s="32">
        <f>SUM(H64:H71)</f>
        <v/>
      </c>
      <c r="I79" s="32">
        <f>SUM(I64:I71)</f>
        <v/>
      </c>
      <c r="J79" s="32">
        <f>SUM(J64:J71)</f>
        <v/>
      </c>
      <c r="K79" s="32">
        <f>SUM(K64:K71)</f>
        <v/>
      </c>
      <c r="L79" s="32">
        <f>SUM(L64:L71)</f>
        <v/>
      </c>
      <c r="M79" s="32">
        <f>SUM(M64:M71)</f>
        <v/>
      </c>
      <c r="N79" s="32">
        <f>SUM(N64:N71)</f>
        <v/>
      </c>
      <c r="O79" s="32">
        <f>SUM(O64:O71)</f>
        <v/>
      </c>
      <c r="P79" s="32">
        <f>SUM(P64:P71)</f>
        <v/>
      </c>
      <c r="Q79" s="32">
        <f>SUM(Q64:Q71)</f>
        <v/>
      </c>
      <c r="R79" s="32">
        <f>SUM(R64:R71)</f>
        <v/>
      </c>
      <c r="S79" s="32">
        <f>SUM(S64:S71)</f>
        <v/>
      </c>
      <c r="T79" s="32">
        <f>SUM(T64:T71)</f>
        <v/>
      </c>
      <c r="U79" s="32">
        <f>SUM(U64:U71)</f>
        <v/>
      </c>
      <c r="V79" s="32">
        <f>SUM(V64:V71)</f>
        <v/>
      </c>
      <c r="W79" s="32">
        <f>SUM(W64:W71)</f>
        <v/>
      </c>
      <c r="X79" s="32">
        <f>SUM(X64:X71)</f>
        <v/>
      </c>
      <c r="Y79" s="32">
        <f>SUM(Y64:Y71)</f>
        <v/>
      </c>
      <c r="Z79" s="32">
        <f>SUM(Z64:Z71)</f>
        <v/>
      </c>
      <c r="AA79" s="32">
        <f>SUM(AA64:AA71)</f>
        <v/>
      </c>
      <c r="AB79" s="32">
        <f>SUM(AB64:AB78)</f>
        <v/>
      </c>
    </row>
    <row r="81">
      <c r="A81" s="6" t="inlineStr">
        <is>
          <t>B&amp;Q MARKETPLACE</t>
        </is>
      </c>
      <c r="B81" s="88" t="inlineStr">
        <is>
          <t>MARCH</t>
        </is>
      </c>
      <c r="C81" s="86" t="n"/>
      <c r="D81" s="86" t="n"/>
      <c r="E81" s="86" t="n"/>
      <c r="F81" s="85" t="inlineStr">
        <is>
          <t>APRIL</t>
        </is>
      </c>
      <c r="G81" s="86" t="n"/>
      <c r="H81" s="86" t="n"/>
      <c r="I81" s="86" t="n"/>
      <c r="J81" s="87" t="n"/>
      <c r="K81" s="85" t="inlineStr">
        <is>
          <t>MAY</t>
        </is>
      </c>
      <c r="L81" s="86" t="n"/>
      <c r="M81" s="86" t="n"/>
      <c r="N81" s="87" t="n"/>
      <c r="O81" s="85" t="inlineStr">
        <is>
          <t>JUNE</t>
        </is>
      </c>
      <c r="P81" s="86" t="n"/>
      <c r="Q81" s="86" t="n"/>
      <c r="R81" s="86" t="n"/>
      <c r="S81" s="87" t="n"/>
      <c r="T81" s="85" t="inlineStr">
        <is>
          <t>JULY</t>
        </is>
      </c>
      <c r="U81" s="86" t="n"/>
      <c r="V81" s="86" t="n"/>
      <c r="W81" s="87" t="n"/>
      <c r="X81" s="85" t="inlineStr">
        <is>
          <t>AUGUST</t>
        </is>
      </c>
      <c r="Y81" s="86" t="n"/>
      <c r="Z81" s="86" t="n"/>
      <c r="AA81" s="87" t="n"/>
    </row>
    <row r="82">
      <c r="A82" s="1" t="inlineStr">
        <is>
          <t>PRODUCT DESCRIPTION</t>
        </is>
      </c>
      <c r="B82" s="85" t="inlineStr">
        <is>
          <t>1st - 8th March</t>
        </is>
      </c>
      <c r="C82" s="85" t="inlineStr">
        <is>
          <t>9th - 15th March</t>
        </is>
      </c>
      <c r="D82" s="85" t="inlineStr">
        <is>
          <t>16th - 22nd March</t>
        </is>
      </c>
      <c r="E82" s="85" t="inlineStr">
        <is>
          <t>23rd - 31st March</t>
        </is>
      </c>
      <c r="F82" s="85" t="inlineStr">
        <is>
          <t>1st - 5th April</t>
        </is>
      </c>
      <c r="G82" s="85" t="inlineStr">
        <is>
          <t>6th-12th April</t>
        </is>
      </c>
      <c r="H82" s="85" t="inlineStr">
        <is>
          <t>13th - 19th April</t>
        </is>
      </c>
      <c r="I82" s="85" t="inlineStr">
        <is>
          <t>20th - 26th April</t>
        </is>
      </c>
      <c r="J82" s="9" t="inlineStr">
        <is>
          <t>27th April - 3rd May</t>
        </is>
      </c>
      <c r="K82" s="85" t="inlineStr">
        <is>
          <t>4th - 10th May</t>
        </is>
      </c>
      <c r="L82" s="85" t="inlineStr">
        <is>
          <t>11th - 17th May</t>
        </is>
      </c>
      <c r="M82" s="88" t="inlineStr">
        <is>
          <t>18th - 24th May</t>
        </is>
      </c>
      <c r="N82" s="85" t="inlineStr">
        <is>
          <t>25th - 31st May</t>
        </is>
      </c>
      <c r="O82" s="85" t="inlineStr">
        <is>
          <t>1st-7th June</t>
        </is>
      </c>
      <c r="P82" s="85" t="inlineStr">
        <is>
          <t>8th-14th June</t>
        </is>
      </c>
      <c r="Q82" s="85" t="inlineStr">
        <is>
          <t>15th-21st June</t>
        </is>
      </c>
      <c r="R82" s="85" t="inlineStr">
        <is>
          <t>22nd-28th June</t>
        </is>
      </c>
      <c r="S82" s="85" t="inlineStr">
        <is>
          <t>29th June-5th July</t>
        </is>
      </c>
      <c r="T82" s="85" t="inlineStr">
        <is>
          <t>6th - 12th July</t>
        </is>
      </c>
      <c r="U82" s="85" t="inlineStr">
        <is>
          <t>13th - 19th July</t>
        </is>
      </c>
      <c r="V82" s="85" t="inlineStr">
        <is>
          <t>20th - 26th July</t>
        </is>
      </c>
      <c r="W82" s="85" t="inlineStr">
        <is>
          <t>27th July - 2nd Aug</t>
        </is>
      </c>
      <c r="X82" s="85" t="inlineStr">
        <is>
          <t>3rd-9th Aug</t>
        </is>
      </c>
      <c r="Y82" s="85" t="inlineStr">
        <is>
          <t>10th-16th Aug</t>
        </is>
      </c>
      <c r="Z82" s="85" t="inlineStr">
        <is>
          <t>17th-23rd Aug</t>
        </is>
      </c>
      <c r="AA82" s="85" t="inlineStr">
        <is>
          <t>24th-30th Aug</t>
        </is>
      </c>
      <c r="AB82" s="11" t="inlineStr">
        <is>
          <t>TOTAL</t>
        </is>
      </c>
    </row>
    <row r="83" ht="15.65" customHeight="1">
      <c r="A83" s="28" t="inlineStr">
        <is>
          <t>Heavy Duty Storage Box - 270L / Taupe</t>
        </is>
      </c>
      <c r="B83" s="35">
        <f>B40*($C$3/1.2)</f>
        <v/>
      </c>
      <c r="C83" s="35">
        <f>C40*($C$3/1.2)</f>
        <v/>
      </c>
      <c r="D83" s="22">
        <f>D40*($C$3/1.2)</f>
        <v/>
      </c>
      <c r="E83" s="22">
        <f>E40*($C$3/1.2)</f>
        <v/>
      </c>
      <c r="F83" s="22">
        <f>F40*($C$3/1.2)</f>
        <v/>
      </c>
      <c r="G83" s="22">
        <f>G40*($C$3/1.2)</f>
        <v/>
      </c>
      <c r="H83" s="22">
        <f>H40*($C$3/1.2)</f>
        <v/>
      </c>
      <c r="I83" s="22">
        <f>I40*($C$3/1.2)</f>
        <v/>
      </c>
      <c r="J83" s="22">
        <f>J40*($C$3/1.2)</f>
        <v/>
      </c>
      <c r="K83" s="22">
        <f>K40*($C$3/1.2)</f>
        <v/>
      </c>
      <c r="L83" s="22">
        <f>L40*($C$3/1.2)</f>
        <v/>
      </c>
      <c r="M83" s="22">
        <f>M40*($C$3/1.2)</f>
        <v/>
      </c>
      <c r="N83" s="22">
        <f>N40*($C$3/1.2)</f>
        <v/>
      </c>
      <c r="O83" s="22">
        <f>O40*($C$3/1.2)</f>
        <v/>
      </c>
      <c r="P83" s="22">
        <f>P40*($C$3/1.2)</f>
        <v/>
      </c>
      <c r="Q83" s="22">
        <f>Q40*($C$3/1.2)</f>
        <v/>
      </c>
      <c r="R83" s="22">
        <f>R40*($C$3/1.2)</f>
        <v/>
      </c>
      <c r="S83" s="22">
        <f>S40*($C$3/1.2)</f>
        <v/>
      </c>
      <c r="T83" s="22">
        <f>T40*($C$3/1.2)</f>
        <v/>
      </c>
      <c r="U83" s="22">
        <f>U40*($C$3/1.2)</f>
        <v/>
      </c>
      <c r="V83" s="22">
        <f>V40*($C$3/1.2)</f>
        <v/>
      </c>
      <c r="W83" s="22">
        <f>W40*($C$3/1.2)</f>
        <v/>
      </c>
      <c r="X83" s="22">
        <f>X40*($C$3/1.2)</f>
        <v/>
      </c>
      <c r="Y83" s="22">
        <f>Y40*($C$3/1.2)</f>
        <v/>
      </c>
      <c r="Z83" s="22">
        <f>Z40*($C$3/1.2)</f>
        <v/>
      </c>
      <c r="AA83" s="22">
        <f>AA40*($C$3/1.2)</f>
        <v/>
      </c>
      <c r="AB83" s="22">
        <f>SUM(B83:AA83)</f>
        <v/>
      </c>
    </row>
    <row r="84" ht="15.65" customHeight="1">
      <c r="A84" s="28" t="inlineStr">
        <is>
          <t>Heavy Duty Storage Box - 450L / Taupe</t>
        </is>
      </c>
      <c r="B84" s="35">
        <f>B41*($C$3/1.2)</f>
        <v/>
      </c>
      <c r="C84" s="35">
        <f>C41*($C$3/1.2)</f>
        <v/>
      </c>
      <c r="D84" s="22">
        <f>D41*($C$4/1.2)</f>
        <v/>
      </c>
      <c r="E84" s="22">
        <f>E41*($C$4/1.2)</f>
        <v/>
      </c>
      <c r="F84" s="22">
        <f>F41*($C$4/1.2)</f>
        <v/>
      </c>
      <c r="G84" s="22">
        <f>G41*($C$4/1.2)</f>
        <v/>
      </c>
      <c r="H84" s="22">
        <f>H41*($C$4/1.2)</f>
        <v/>
      </c>
      <c r="I84" s="22">
        <f>I41*($C$4/1.2)</f>
        <v/>
      </c>
      <c r="J84" s="22">
        <f>J41*($C$4/1.2)</f>
        <v/>
      </c>
      <c r="K84" s="22">
        <f>K41*($C$4/1.2)</f>
        <v/>
      </c>
      <c r="L84" s="22">
        <f>L41*($C$4/1.2)</f>
        <v/>
      </c>
      <c r="M84" s="22">
        <f>M41*($C$4/1.2)</f>
        <v/>
      </c>
      <c r="N84" s="22">
        <f>N41*($C$4/1.2)</f>
        <v/>
      </c>
      <c r="O84" s="22">
        <f>O41*($C$4/1.2)</f>
        <v/>
      </c>
      <c r="P84" s="22">
        <f>P41*($C$4/1.2)</f>
        <v/>
      </c>
      <c r="Q84" s="22">
        <f>Q41*($C$4/1.2)</f>
        <v/>
      </c>
      <c r="R84" s="22">
        <f>R41*($C$4/1.2)</f>
        <v/>
      </c>
      <c r="S84" s="22">
        <f>S41*($C$4/1.2)</f>
        <v/>
      </c>
      <c r="T84" s="22">
        <f>T41*($C$4/1.2)</f>
        <v/>
      </c>
      <c r="U84" s="22">
        <f>U41*($C$4/1.2)</f>
        <v/>
      </c>
      <c r="V84" s="22">
        <f>V41*($C$4/1.2)</f>
        <v/>
      </c>
      <c r="W84" s="22">
        <f>W41*($C$4/1.2)</f>
        <v/>
      </c>
      <c r="X84" s="22">
        <f>X41*($C$4/1.2)</f>
        <v/>
      </c>
      <c r="Y84" s="22">
        <f>Y41*($C$4/1.2)</f>
        <v/>
      </c>
      <c r="Z84" s="22">
        <f>Z41*($C$4/1.2)</f>
        <v/>
      </c>
      <c r="AA84" s="22">
        <f>AA41*($C$4/1.2)</f>
        <v/>
      </c>
      <c r="AB84" s="22">
        <f>SUM(B84:AA84)</f>
        <v/>
      </c>
    </row>
    <row r="85" ht="15.65" customHeight="1">
      <c r="A85" s="29" t="inlineStr">
        <is>
          <t>Heavy Duty Storage Box - 680L / Black</t>
        </is>
      </c>
      <c r="B85" s="35">
        <f>B42*($C$3/1.2)</f>
        <v/>
      </c>
      <c r="C85" s="35">
        <f>C42*($C$3/1.2)</f>
        <v/>
      </c>
      <c r="D85" s="22">
        <f>D42*($C$5/1.2)</f>
        <v/>
      </c>
      <c r="E85" s="22">
        <f>E42*($C$5/1.2)</f>
        <v/>
      </c>
      <c r="F85" s="22">
        <f>F42*($C$5/1.2)</f>
        <v/>
      </c>
      <c r="G85" s="22">
        <f>G42*($C$5/1.2)</f>
        <v/>
      </c>
      <c r="H85" s="22">
        <f>H42*($C$5/1.2)</f>
        <v/>
      </c>
      <c r="I85" s="22">
        <f>I42*($C$5/1.2)</f>
        <v/>
      </c>
      <c r="J85" s="22">
        <f>J42*($C$5/1.2)</f>
        <v/>
      </c>
      <c r="K85" s="22">
        <f>K42*($C$5/1.2)</f>
        <v/>
      </c>
      <c r="L85" s="22">
        <f>L42*($C$5/1.2)</f>
        <v/>
      </c>
      <c r="M85" s="22">
        <f>M42*($C$5/1.2)</f>
        <v/>
      </c>
      <c r="N85" s="22">
        <f>N42*($C$5/1.2)</f>
        <v/>
      </c>
      <c r="O85" s="22">
        <f>O42*($C$5/1.2)</f>
        <v/>
      </c>
      <c r="P85" s="22">
        <f>P42*($C$5/1.2)</f>
        <v/>
      </c>
      <c r="Q85" s="22">
        <f>Q42*($C$5/1.2)</f>
        <v/>
      </c>
      <c r="R85" s="22">
        <f>R42*($C$5/1.2)</f>
        <v/>
      </c>
      <c r="S85" s="22">
        <f>S42*($C$5/1.2)</f>
        <v/>
      </c>
      <c r="T85" s="22">
        <f>T42*($C$5/1.2)</f>
        <v/>
      </c>
      <c r="U85" s="22">
        <f>U42*($C$5/1.2)</f>
        <v/>
      </c>
      <c r="V85" s="22">
        <f>V42*($C$5/1.2)</f>
        <v/>
      </c>
      <c r="W85" s="22">
        <f>W42*($C$5/1.2)</f>
        <v/>
      </c>
      <c r="X85" s="22">
        <f>X42*($C$5/1.2)</f>
        <v/>
      </c>
      <c r="Y85" s="22">
        <f>Y42*($C$5/1.2)</f>
        <v/>
      </c>
      <c r="Z85" s="22">
        <f>Z42*($C$5/1.2)</f>
        <v/>
      </c>
      <c r="AA85" s="22">
        <f>AA42*($C$5/1.2)</f>
        <v/>
      </c>
      <c r="AB85" s="22">
        <f>SUM(B85:AA85)</f>
        <v/>
      </c>
    </row>
    <row r="86" ht="15.65" customHeight="1">
      <c r="A86" s="28" t="inlineStr">
        <is>
          <t>Heavy Duty Storage Box - 680L / Taupe</t>
        </is>
      </c>
      <c r="B86" s="35">
        <f>B43*($C$3/1.2)</f>
        <v/>
      </c>
      <c r="C86" s="35">
        <f>C43*($C$3/1.2)</f>
        <v/>
      </c>
      <c r="D86" s="22">
        <f>D43*($C$6/1.2)</f>
        <v/>
      </c>
      <c r="E86" s="22">
        <f>E43*($C$6/1.2)</f>
        <v/>
      </c>
      <c r="F86" s="22">
        <f>F43*($C$6/1.2)</f>
        <v/>
      </c>
      <c r="G86" s="22">
        <f>G43*($C$6/1.2)</f>
        <v/>
      </c>
      <c r="H86" s="22">
        <f>H43*($C$6/1.2)</f>
        <v/>
      </c>
      <c r="I86" s="22">
        <f>I43*($C$6/1.2)</f>
        <v/>
      </c>
      <c r="J86" s="22">
        <f>J43*($C$6/1.2)</f>
        <v/>
      </c>
      <c r="K86" s="22">
        <f>K43*($C$6/1.2)</f>
        <v/>
      </c>
      <c r="L86" s="22">
        <f>L43*($C$6/1.2)</f>
        <v/>
      </c>
      <c r="M86" s="22">
        <f>M43*($C$6/1.2)</f>
        <v/>
      </c>
      <c r="N86" s="22">
        <f>N43*($C$6/1.2)</f>
        <v/>
      </c>
      <c r="O86" s="22">
        <f>O43*($C$6/1.2)</f>
        <v/>
      </c>
      <c r="P86" s="22">
        <f>P43*($C$6/1.2)</f>
        <v/>
      </c>
      <c r="Q86" s="22">
        <f>Q43*($C$6/1.2)</f>
        <v/>
      </c>
      <c r="R86" s="22">
        <f>R43*($C$6/1.2)</f>
        <v/>
      </c>
      <c r="S86" s="22">
        <f>S43*($C$6/1.2)</f>
        <v/>
      </c>
      <c r="T86" s="22">
        <f>T43*($C$6/1.2)</f>
        <v/>
      </c>
      <c r="U86" s="22">
        <f>U43*($C$6/1.2)</f>
        <v/>
      </c>
      <c r="V86" s="22">
        <f>V43*($C$6/1.2)</f>
        <v/>
      </c>
      <c r="W86" s="22">
        <f>W43*($C$6/1.2)</f>
        <v/>
      </c>
      <c r="X86" s="22">
        <f>X43*($C$6/1.2)</f>
        <v/>
      </c>
      <c r="Y86" s="22">
        <f>Y43*($C$6/1.2)</f>
        <v/>
      </c>
      <c r="Z86" s="22">
        <f>Z43*($C$6/1.2)</f>
        <v/>
      </c>
      <c r="AA86" s="22">
        <f>AA43*($C$6/1.2)</f>
        <v/>
      </c>
      <c r="AB86" s="22">
        <f>SUM(B86:AA86)</f>
        <v/>
      </c>
    </row>
    <row r="87" ht="15.65" customHeight="1">
      <c r="A87" s="29" t="inlineStr">
        <is>
          <t>Heavy Duty Storage Box - 870L / Black</t>
        </is>
      </c>
      <c r="B87" s="35">
        <f>B44*($C$3/1.2)</f>
        <v/>
      </c>
      <c r="C87" s="35">
        <f>C44*($C$3/1.2)</f>
        <v/>
      </c>
      <c r="D87" s="22">
        <f>D44*($C$7/1.2)</f>
        <v/>
      </c>
      <c r="E87" s="22">
        <f>E44*($C$7/1.2)</f>
        <v/>
      </c>
      <c r="F87" s="22">
        <f>F44*($C$7/1.2)</f>
        <v/>
      </c>
      <c r="G87" s="22">
        <f>G44*($C$7/1.2)</f>
        <v/>
      </c>
      <c r="H87" s="22">
        <f>H44*($C$7/1.2)</f>
        <v/>
      </c>
      <c r="I87" s="22">
        <f>I44*($C$7/1.2)</f>
        <v/>
      </c>
      <c r="J87" s="22">
        <f>J44*($C$7/1.2)</f>
        <v/>
      </c>
      <c r="K87" s="22">
        <f>K44*($C$7/1.2)</f>
        <v/>
      </c>
      <c r="L87" s="22">
        <f>L44*($C$7/1.2)</f>
        <v/>
      </c>
      <c r="M87" s="22">
        <f>M45*($C$7/1.2)</f>
        <v/>
      </c>
      <c r="N87" s="22">
        <f>N44*($C$7/1.2)</f>
        <v/>
      </c>
      <c r="O87" s="22">
        <f>O44*($C$7/1.2)</f>
        <v/>
      </c>
      <c r="P87" s="22">
        <f>P44*($C$7/1.2)</f>
        <v/>
      </c>
      <c r="Q87" s="22">
        <f>Q44*($C$7/1.2)</f>
        <v/>
      </c>
      <c r="R87" s="22">
        <f>R44*($C$7/1.2)</f>
        <v/>
      </c>
      <c r="S87" s="22">
        <f>S44*($C$7/1.2)</f>
        <v/>
      </c>
      <c r="T87" s="22">
        <f>T44*($C$7/1.2)</f>
        <v/>
      </c>
      <c r="U87" s="22">
        <f>U44*($C$7/1.2)</f>
        <v/>
      </c>
      <c r="V87" s="22">
        <f>V44*($C$7/1.2)</f>
        <v/>
      </c>
      <c r="W87" s="22">
        <f>W44*($C$7/1.2)</f>
        <v/>
      </c>
      <c r="X87" s="22">
        <f>X44*($C$7/1.2)</f>
        <v/>
      </c>
      <c r="Y87" s="22">
        <f>Y44*($C$7/1.2)</f>
        <v/>
      </c>
      <c r="Z87" s="22">
        <f>Z44*($C$7/1.2)</f>
        <v/>
      </c>
      <c r="AA87" s="22">
        <f>AA44*($C$7/1.2)</f>
        <v/>
      </c>
      <c r="AB87" s="22">
        <f>SUM(B87:AA87)</f>
        <v/>
      </c>
    </row>
    <row r="88" ht="15.65" customHeight="1">
      <c r="A88" s="28" t="inlineStr">
        <is>
          <t>Heavy Duty Storage Box - 870L / Taupe</t>
        </is>
      </c>
      <c r="B88" s="35">
        <f>B45*($C$3/1.2)</f>
        <v/>
      </c>
      <c r="C88" s="35">
        <f>C45*($C$3/1.2)</f>
        <v/>
      </c>
      <c r="D88" s="22">
        <f>D45*($C$8/1.2)</f>
        <v/>
      </c>
      <c r="E88" s="22">
        <f>E45*($C$8/1.2)</f>
        <v/>
      </c>
      <c r="F88" s="22">
        <f>F45*($C$8/1.2)</f>
        <v/>
      </c>
      <c r="G88" s="22">
        <f>G45*($C$8/1.2)</f>
        <v/>
      </c>
      <c r="H88" s="22">
        <f>H45*($C$8/1.2)</f>
        <v/>
      </c>
      <c r="I88" s="22">
        <f>I45*($C$8/1.2)</f>
        <v/>
      </c>
      <c r="J88" s="22">
        <f>J45*($C$8/1.2)</f>
        <v/>
      </c>
      <c r="K88" s="22">
        <f>K45*($C$8/1.2)</f>
        <v/>
      </c>
      <c r="L88" s="22">
        <f>L45*($C$8/1.2)</f>
        <v/>
      </c>
      <c r="M88" s="22">
        <f>M46*($C$7/1.2)</f>
        <v/>
      </c>
      <c r="N88" s="22">
        <f>N45*($C$8/1.2)</f>
        <v/>
      </c>
      <c r="O88" s="22">
        <f>O45*($C$8/1.2)</f>
        <v/>
      </c>
      <c r="P88" s="22">
        <f>P45*($C$8/1.2)</f>
        <v/>
      </c>
      <c r="Q88" s="22">
        <f>Q45*($C$8/1.2)</f>
        <v/>
      </c>
      <c r="R88" s="22">
        <f>R45*($C$8/1.2)</f>
        <v/>
      </c>
      <c r="S88" s="22">
        <f>S45*($C$8/1.2)</f>
        <v/>
      </c>
      <c r="T88" s="22">
        <f>T45*($C$8/1.2)</f>
        <v/>
      </c>
      <c r="U88" s="22">
        <f>U45*($C$8/1.2)</f>
        <v/>
      </c>
      <c r="V88" s="22">
        <f>V45*($C$8/1.2)</f>
        <v/>
      </c>
      <c r="W88" s="22">
        <f>W45*($C$8/1.2)</f>
        <v/>
      </c>
      <c r="X88" s="22">
        <f>X45*($C$8/1.2)</f>
        <v/>
      </c>
      <c r="Y88" s="22">
        <f>Y45*($C$8/1.2)</f>
        <v/>
      </c>
      <c r="Z88" s="22">
        <f>Z45*($C$8/1.2)</f>
        <v/>
      </c>
      <c r="AA88" s="22">
        <f>AA45*($C$8/1.2)</f>
        <v/>
      </c>
      <c r="AB88" s="22">
        <f>SUM(B88:AA88)</f>
        <v/>
      </c>
    </row>
    <row r="89" ht="15.65" customHeight="1">
      <c r="A89" s="29" t="inlineStr">
        <is>
          <t>Heavy Duty Storage Box - 980L / Black</t>
        </is>
      </c>
      <c r="B89" s="35">
        <f>B46*($C$3/1.2)</f>
        <v/>
      </c>
      <c r="C89" s="35">
        <f>C46*($C$3/1.2)</f>
        <v/>
      </c>
      <c r="D89" s="22">
        <f>D46*($C$9/1.2)</f>
        <v/>
      </c>
      <c r="E89" s="22">
        <f>E46*($C$9/1.2)</f>
        <v/>
      </c>
      <c r="F89" s="22">
        <f>F46*($C$9/1.2)</f>
        <v/>
      </c>
      <c r="G89" s="22">
        <f>G46*($C$9/1.2)</f>
        <v/>
      </c>
      <c r="H89" s="22">
        <f>H46*($C$9/1.2)</f>
        <v/>
      </c>
      <c r="I89" s="22">
        <f>I46*($C$9/1.2)</f>
        <v/>
      </c>
      <c r="J89" s="22">
        <f>J46*($C$9/1.2)</f>
        <v/>
      </c>
      <c r="K89" s="22">
        <f>K46*($C$9/1.2)</f>
        <v/>
      </c>
      <c r="L89" s="22">
        <f>L46*($C$9/1.2)</f>
        <v/>
      </c>
      <c r="M89" s="22">
        <f>M46*($C$9/1.2)</f>
        <v/>
      </c>
      <c r="N89" s="22">
        <f>N46*($C$9/1.2)</f>
        <v/>
      </c>
      <c r="O89" s="22">
        <f>O47*($C$9/1.2)</f>
        <v/>
      </c>
      <c r="P89" s="22">
        <f>P47*($C$9/1.2)</f>
        <v/>
      </c>
      <c r="Q89" s="22">
        <f>Q46*($C$9/1.2)</f>
        <v/>
      </c>
      <c r="R89" s="22">
        <f>R46*($C$9/1.2)</f>
        <v/>
      </c>
      <c r="S89" s="22">
        <f>S46*($C$9/1.2)</f>
        <v/>
      </c>
      <c r="T89" s="22">
        <f>T46*($C$9/1.2)</f>
        <v/>
      </c>
      <c r="U89" s="22">
        <f>U46*($C$9/1.2)</f>
        <v/>
      </c>
      <c r="V89" s="22">
        <f>V46*($C$9/1.2)</f>
        <v/>
      </c>
      <c r="W89" s="22">
        <f>W46*($C$9/1.2)</f>
        <v/>
      </c>
      <c r="X89" s="22">
        <f>X46*($C$9/1.2)</f>
        <v/>
      </c>
      <c r="Y89" s="22">
        <f>Y46*($C$9/1.2)</f>
        <v/>
      </c>
      <c r="Z89" s="22">
        <f>Z46*($C$9/1.2)</f>
        <v/>
      </c>
      <c r="AA89" s="22">
        <f>AA46*($C$9/1.2)</f>
        <v/>
      </c>
      <c r="AB89" s="22">
        <f>SUM(B89:AA89)</f>
        <v/>
      </c>
    </row>
    <row r="90" ht="15.65" customHeight="1">
      <c r="A90" s="28" t="inlineStr">
        <is>
          <t>Heavy Duty Storage Box - 980L / Taupe</t>
        </is>
      </c>
      <c r="B90" s="35">
        <f>B47*($C$3/1.2)</f>
        <v/>
      </c>
      <c r="C90" s="35">
        <f>C47*($C$3/1.2)</f>
        <v/>
      </c>
      <c r="D90" s="22">
        <f>D47*($C$10/1.2)</f>
        <v/>
      </c>
      <c r="E90" s="22">
        <f>E47*($C$10/1.2)</f>
        <v/>
      </c>
      <c r="F90" s="22">
        <f>F47*($C$10/1.2)</f>
        <v/>
      </c>
      <c r="G90" s="22">
        <f>G47*($C$10/1.2)</f>
        <v/>
      </c>
      <c r="H90" s="22">
        <f>H47*($C$10/1.2)</f>
        <v/>
      </c>
      <c r="I90" s="22">
        <f>I47*($C$10/1.2)</f>
        <v/>
      </c>
      <c r="J90" s="22">
        <f>J47*($C$10/1.2)</f>
        <v/>
      </c>
      <c r="K90" s="22">
        <f>K47*($C$10/1.2)</f>
        <v/>
      </c>
      <c r="L90" s="22">
        <f>L47*($C$10/1.2)</f>
        <v/>
      </c>
      <c r="M90" s="22">
        <f>M47*($C$10/1.2)</f>
        <v/>
      </c>
      <c r="N90" s="22">
        <f>N47*($C$10/1.2)</f>
        <v/>
      </c>
      <c r="O90" s="22">
        <f>O47*($C$10/1.2)</f>
        <v/>
      </c>
      <c r="P90" s="22">
        <f>P47*($C$10/1.2)</f>
        <v/>
      </c>
      <c r="Q90" s="22">
        <f>Q47*($C$10/1.2)</f>
        <v/>
      </c>
      <c r="R90" s="22">
        <f>R47*($C$10/1.2)</f>
        <v/>
      </c>
      <c r="S90" s="22">
        <f>S47*($C$10/1.2)</f>
        <v/>
      </c>
      <c r="T90" s="22">
        <f>T47*($C$10/1.2)</f>
        <v/>
      </c>
      <c r="U90" s="22">
        <f>U47*($C$10/1.2)</f>
        <v/>
      </c>
      <c r="V90" s="22">
        <f>V47*($C$10/1.2)</f>
        <v/>
      </c>
      <c r="W90" s="22">
        <f>W47*($C$10/1.2)</f>
        <v/>
      </c>
      <c r="X90" s="22">
        <f>X47*($C$10/1.2)</f>
        <v/>
      </c>
      <c r="Y90" s="22">
        <f>Y47*($C$10/1.2)</f>
        <v/>
      </c>
      <c r="Z90" s="22">
        <f>Z47*($C$10/1.2)</f>
        <v/>
      </c>
      <c r="AA90" s="22">
        <f>AA47*($C$10/1.2)</f>
        <v/>
      </c>
      <c r="AB90" s="22">
        <f>SUM(B90:AA90)</f>
        <v/>
      </c>
    </row>
    <row r="91" ht="15.65" customHeight="1">
      <c r="A91" s="30" t="inlineStr">
        <is>
          <t>L Premium Metal Storage Box - 683L / Green</t>
        </is>
      </c>
      <c r="B91" s="35">
        <f>B48*($C$3/1.2)</f>
        <v/>
      </c>
      <c r="C91" s="35">
        <f>C48*($C$3/1.2)</f>
        <v/>
      </c>
      <c r="D91" s="35">
        <f>D48*($C$10/1.2)</f>
        <v/>
      </c>
      <c r="E91" s="35">
        <f>E48*($C$10/1.2)</f>
        <v/>
      </c>
      <c r="F91" s="35">
        <f>F48*($C$10/1.2)</f>
        <v/>
      </c>
      <c r="G91" s="22">
        <f>G48*($C$10/1.2)</f>
        <v/>
      </c>
      <c r="H91" s="22">
        <f>H48*($C$10/1.2)</f>
        <v/>
      </c>
      <c r="I91" s="22">
        <f>I48*($C$10/1.2)</f>
        <v/>
      </c>
      <c r="J91" s="22">
        <f>J48*($C$10/1.2)</f>
        <v/>
      </c>
      <c r="K91" s="22">
        <f>K48*($C$10/1.2)</f>
        <v/>
      </c>
      <c r="L91" s="22">
        <f>L48*($C$10/1.2)</f>
        <v/>
      </c>
      <c r="M91" s="22">
        <f>M48*($C$10/1.2)</f>
        <v/>
      </c>
      <c r="N91" s="22">
        <f>N48*($C$10/1.2)</f>
        <v/>
      </c>
      <c r="O91" s="22">
        <f>O48*($C$10/1.2)</f>
        <v/>
      </c>
      <c r="P91" s="22">
        <f>P48*($C$10/1.2)</f>
        <v/>
      </c>
      <c r="Q91" s="22">
        <f>Q48*($C$10/1.2)</f>
        <v/>
      </c>
      <c r="R91" s="22">
        <f>R48*($C$10/1.2)</f>
        <v/>
      </c>
      <c r="S91" s="22">
        <f>S48*($C$10/1.2)</f>
        <v/>
      </c>
      <c r="T91" s="22">
        <f>T48*($C$10/1.2)</f>
        <v/>
      </c>
      <c r="U91" s="22">
        <f>U48*($C$10/1.2)</f>
        <v/>
      </c>
      <c r="V91" s="22">
        <f>V48*($C$10/1.2)</f>
        <v/>
      </c>
      <c r="W91" s="22">
        <f>W48*($C$10/1.2)</f>
        <v/>
      </c>
      <c r="X91" s="22">
        <f>X48*($C$10/1.2)</f>
        <v/>
      </c>
      <c r="Y91" s="22">
        <f>Y48*($C$10/1.2)</f>
        <v/>
      </c>
      <c r="Z91" s="22">
        <f>Z48*($C$10/1.2)</f>
        <v/>
      </c>
      <c r="AA91" s="22">
        <f>AA48*($C$10/1.2)</f>
        <v/>
      </c>
      <c r="AB91" s="22">
        <f>SUM(B91:AA91)</f>
        <v/>
      </c>
    </row>
    <row r="92" ht="15.65" customHeight="1">
      <c r="A92" s="30" t="inlineStr">
        <is>
          <t>L Premium Metal Storage Box - 683L / Grey</t>
        </is>
      </c>
      <c r="B92" s="35">
        <f>B49*($C$3/1.2)</f>
        <v/>
      </c>
      <c r="C92" s="35">
        <f>C49*($C$3/1.2)</f>
        <v/>
      </c>
      <c r="D92" s="35">
        <f>D49*($C$10/1.2)</f>
        <v/>
      </c>
      <c r="E92" s="35">
        <f>E49*($C$10/1.2)</f>
        <v/>
      </c>
      <c r="F92" s="35">
        <f>F49*($C$10/1.2)</f>
        <v/>
      </c>
      <c r="G92" s="22">
        <f>G49*($C$10/1.2)</f>
        <v/>
      </c>
      <c r="H92" s="22">
        <f>H49*($C$10/1.2)</f>
        <v/>
      </c>
      <c r="I92" s="22">
        <f>I49*($C$10/1.2)</f>
        <v/>
      </c>
      <c r="J92" s="22">
        <f>J49*($C$10/1.2)</f>
        <v/>
      </c>
      <c r="K92" s="22">
        <f>K49*($C$10/1.2)</f>
        <v/>
      </c>
      <c r="L92" s="22">
        <f>L49*($C$10/1.2)</f>
        <v/>
      </c>
      <c r="M92" s="22">
        <f>M49*($C$10/1.2)</f>
        <v/>
      </c>
      <c r="N92" s="22">
        <f>N49*($C$10/1.2)</f>
        <v/>
      </c>
      <c r="O92" s="22">
        <f>O49*($C$10/1.2)</f>
        <v/>
      </c>
      <c r="P92" s="22">
        <f>P49*($C$10/1.2)</f>
        <v/>
      </c>
      <c r="Q92" s="22">
        <f>Q49*($C$10/1.2)</f>
        <v/>
      </c>
      <c r="R92" s="22">
        <f>R49*($C$10/1.2)</f>
        <v/>
      </c>
      <c r="S92" s="22">
        <f>S49*($C$10/1.2)</f>
        <v/>
      </c>
      <c r="T92" s="22">
        <f>T49*($C$10/1.2)</f>
        <v/>
      </c>
      <c r="U92" s="22">
        <f>U49*($C$10/1.2)</f>
        <v/>
      </c>
      <c r="V92" s="22">
        <f>V49*($C$10/1.2)</f>
        <v/>
      </c>
      <c r="W92" s="22">
        <f>W49*($C$10/1.2)</f>
        <v/>
      </c>
      <c r="X92" s="22">
        <f>X49*($C$10/1.2)</f>
        <v/>
      </c>
      <c r="Y92" s="22">
        <f>Y49*($C$10/1.2)</f>
        <v/>
      </c>
      <c r="Z92" s="22">
        <f>Z49*($C$10/1.2)</f>
        <v/>
      </c>
      <c r="AA92" s="22">
        <f>AA49*($C$10/1.2)</f>
        <v/>
      </c>
      <c r="AB92" s="22">
        <f>SUM(B92:AA92)</f>
        <v/>
      </c>
    </row>
    <row r="93" ht="15.65" customHeight="1">
      <c r="A93" s="30" t="inlineStr">
        <is>
          <t>XL Premium Metal Storage Box - 1056L / Green</t>
        </is>
      </c>
      <c r="B93" s="35">
        <f>B50*($C$3/1.2)</f>
        <v/>
      </c>
      <c r="C93" s="35">
        <f>C50*($C$3/1.2)</f>
        <v/>
      </c>
      <c r="D93" s="35">
        <f>D50*($C$10/1.2)</f>
        <v/>
      </c>
      <c r="E93" s="35">
        <f>E50*($C$10/1.2)</f>
        <v/>
      </c>
      <c r="F93" s="35">
        <f>F50*($C$10/1.2)</f>
        <v/>
      </c>
      <c r="G93" s="22">
        <f>G50*($C$10/1.2)</f>
        <v/>
      </c>
      <c r="H93" s="22">
        <f>H50*($C$10/1.2)</f>
        <v/>
      </c>
      <c r="I93" s="22">
        <f>I50*($C$10/1.2)</f>
        <v/>
      </c>
      <c r="J93" s="22">
        <f>J50*($C$10/1.2)</f>
        <v/>
      </c>
      <c r="K93" s="22">
        <f>K50*($C$10/1.2)</f>
        <v/>
      </c>
      <c r="L93" s="22">
        <f>L50*($C$10/1.2)</f>
        <v/>
      </c>
      <c r="M93" s="22">
        <f>M50*($C$10/1.2)</f>
        <v/>
      </c>
      <c r="N93" s="22">
        <f>N50*($C$10/1.2)</f>
        <v/>
      </c>
      <c r="O93" s="22">
        <f>O50*($C$10/1.2)</f>
        <v/>
      </c>
      <c r="P93" s="22">
        <f>P50*($C$10/1.2)</f>
        <v/>
      </c>
      <c r="Q93" s="22">
        <f>Q50*($C$10/1.2)</f>
        <v/>
      </c>
      <c r="R93" s="22">
        <f>R50*($C$10/1.2)</f>
        <v/>
      </c>
      <c r="S93" s="22">
        <f>S50*($C$10/1.2)</f>
        <v/>
      </c>
      <c r="T93" s="22">
        <f>T50*($C$10/1.2)</f>
        <v/>
      </c>
      <c r="U93" s="22">
        <f>U50*($C$10/1.2)</f>
        <v/>
      </c>
      <c r="V93" s="22">
        <f>V50*($C$10/1.2)</f>
        <v/>
      </c>
      <c r="W93" s="22">
        <f>W50*($C$10/1.2)</f>
        <v/>
      </c>
      <c r="X93" s="22">
        <f>X50*($C$10/1.2)</f>
        <v/>
      </c>
      <c r="Y93" s="22">
        <f>Y50*($C$10/1.2)</f>
        <v/>
      </c>
      <c r="Z93" s="22">
        <f>Z50*($C$10/1.2)</f>
        <v/>
      </c>
      <c r="AA93" s="22">
        <f>AA50*($C$10/1.2)</f>
        <v/>
      </c>
      <c r="AB93" s="22">
        <f>SUM(B93:AA93)</f>
        <v/>
      </c>
    </row>
    <row r="94" ht="15.65" customHeight="1">
      <c r="A94" s="30" t="inlineStr">
        <is>
          <t>XL Premium Metal Storage Box - 1056L / Grey</t>
        </is>
      </c>
      <c r="B94" s="35">
        <f>B51*($C$3/1.2)</f>
        <v/>
      </c>
      <c r="C94" s="35">
        <f>C51*($C$3/1.2)</f>
        <v/>
      </c>
      <c r="D94" s="35">
        <f>D51*($C$10/1.2)</f>
        <v/>
      </c>
      <c r="E94" s="35">
        <f>E51*($C$10/1.2)</f>
        <v/>
      </c>
      <c r="F94" s="35">
        <f>F51*($C$10/1.2)</f>
        <v/>
      </c>
      <c r="G94" s="22">
        <f>G51*($C$10/1.2)</f>
        <v/>
      </c>
      <c r="H94" s="22">
        <f>H51*($C$10/1.2)</f>
        <v/>
      </c>
      <c r="I94" s="22">
        <f>I51*($C$10/1.2)</f>
        <v/>
      </c>
      <c r="J94" s="22">
        <f>J51*($C$10/1.2)</f>
        <v/>
      </c>
      <c r="K94" s="22">
        <f>K51*($C$10/1.2)</f>
        <v/>
      </c>
      <c r="L94" s="22">
        <f>L51*($C$10/1.2)</f>
        <v/>
      </c>
      <c r="M94" s="22">
        <f>M51*($C$10/1.2)</f>
        <v/>
      </c>
      <c r="N94" s="22">
        <f>N51*($C$10/1.2)</f>
        <v/>
      </c>
      <c r="O94" s="22">
        <f>O51*($C$10/1.2)</f>
        <v/>
      </c>
      <c r="P94" s="22">
        <f>P51*($C$10/1.2)</f>
        <v/>
      </c>
      <c r="Q94" s="22">
        <f>Q51*($C$10/1.2)</f>
        <v/>
      </c>
      <c r="R94" s="22">
        <f>R51*($C$10/1.2)</f>
        <v/>
      </c>
      <c r="S94" s="22">
        <f>S51*($C$10/1.2)</f>
        <v/>
      </c>
      <c r="T94" s="22">
        <f>T51*($C$10/1.2)</f>
        <v/>
      </c>
      <c r="U94" s="22">
        <f>U51*($C$10/1.2)</f>
        <v/>
      </c>
      <c r="V94" s="22">
        <f>V51*($C$10/1.2)</f>
        <v/>
      </c>
      <c r="W94" s="22">
        <f>W51*($C$10/1.2)</f>
        <v/>
      </c>
      <c r="X94" s="22">
        <f>X51*($C$10/1.2)</f>
        <v/>
      </c>
      <c r="Y94" s="22">
        <f>Y51*($C$10/1.2)</f>
        <v/>
      </c>
      <c r="Z94" s="22">
        <f>Z51*($C$10/1.2)</f>
        <v/>
      </c>
      <c r="AA94" s="22">
        <f>AA51*($C$10/1.2)</f>
        <v/>
      </c>
      <c r="AB94" s="22">
        <f>SUM(B94:AA94)</f>
        <v/>
      </c>
    </row>
    <row r="95" ht="15.65" customHeight="1">
      <c r="A95" s="28" t="inlineStr">
        <is>
          <t>3m Luxury Hydraulic Parasol with 45kg Base and Cover - Grey</t>
        </is>
      </c>
      <c r="B95" s="35">
        <f>B52*($C$8/1.2)</f>
        <v/>
      </c>
      <c r="C95" s="35">
        <f>C52*($C$8/1.2)</f>
        <v/>
      </c>
      <c r="D95" s="35">
        <f>D52*($C$8/1.2)</f>
        <v/>
      </c>
      <c r="E95" s="35">
        <f>E52*($C$8/1.2)</f>
        <v/>
      </c>
      <c r="F95" s="35">
        <f>F52*($C$8/1.2)</f>
        <v/>
      </c>
      <c r="G95" s="60">
        <f>G52*($C$8/1.2)</f>
        <v/>
      </c>
      <c r="H95" s="60">
        <f>H52*($C$8/1.2)</f>
        <v/>
      </c>
      <c r="I95" s="60">
        <f>I52*($C$8/1.2)</f>
        <v/>
      </c>
      <c r="J95" s="60">
        <f>J52*($C$8/1.2)</f>
        <v/>
      </c>
      <c r="K95" s="60">
        <f>K52*($C$8/1.2)</f>
        <v/>
      </c>
      <c r="L95" s="60">
        <f>L52*($C$8/1.2)</f>
        <v/>
      </c>
      <c r="M95" s="60">
        <f>M52*($C$8/1.2)</f>
        <v/>
      </c>
      <c r="N95" s="60">
        <f>N52*($C$8/1.2)</f>
        <v/>
      </c>
      <c r="O95" s="60">
        <f>O52*($C$8/1.2)</f>
        <v/>
      </c>
      <c r="P95" s="60">
        <f>P52*($C$8/1.2)</f>
        <v/>
      </c>
      <c r="Q95" s="60">
        <f>Q52*($C$8/1.2)</f>
        <v/>
      </c>
      <c r="R95" s="60">
        <f>R52*($C$8/1.2)</f>
        <v/>
      </c>
      <c r="S95" s="60">
        <f>S52*($C$8/1.2)</f>
        <v/>
      </c>
      <c r="T95" s="60">
        <f>T52*($C$8/1.2)</f>
        <v/>
      </c>
      <c r="U95" s="60">
        <f>U52*($C$8/1.2)</f>
        <v/>
      </c>
      <c r="V95" s="60">
        <f>V52*($C$8/1.2)</f>
        <v/>
      </c>
      <c r="W95" s="60">
        <f>W52*($C$8/1.2)</f>
        <v/>
      </c>
      <c r="X95" s="60">
        <f>X52*($C$8/1.2)</f>
        <v/>
      </c>
      <c r="Y95" s="60">
        <f>Y52*($C$8/1.2)</f>
        <v/>
      </c>
      <c r="Z95" s="60">
        <f>Z52*($C$8/1.2)</f>
        <v/>
      </c>
      <c r="AA95" s="60">
        <f>AA52*($C$8/1.2)</f>
        <v/>
      </c>
      <c r="AB95" s="22">
        <f>SUM(B95:AA95)</f>
        <v/>
      </c>
    </row>
    <row r="96" ht="15.65" customHeight="1">
      <c r="A96" s="28" t="inlineStr">
        <is>
          <t>3m Luxury Hydraulic Parasol with 45kg Base and Cover - Natural</t>
        </is>
      </c>
      <c r="B96" s="35">
        <f>B53*($C$8/1.2)</f>
        <v/>
      </c>
      <c r="C96" s="35">
        <f>C53*($C$8/1.2)</f>
        <v/>
      </c>
      <c r="D96" s="35">
        <f>D53*($C$8/1.2)</f>
        <v/>
      </c>
      <c r="E96" s="35">
        <f>E53*($C$8/1.2)</f>
        <v/>
      </c>
      <c r="F96" s="35">
        <f>F53*($C$8/1.2)</f>
        <v/>
      </c>
      <c r="G96" s="60">
        <f>G53*($C$8/1.2)</f>
        <v/>
      </c>
      <c r="H96" s="60">
        <f>H53*($C$8/1.2)</f>
        <v/>
      </c>
      <c r="I96" s="60">
        <f>I53*($C$8/1.2)</f>
        <v/>
      </c>
      <c r="J96" s="60">
        <f>J53*($C$8/1.2)</f>
        <v/>
      </c>
      <c r="K96" s="60">
        <f>K53*($C$8/1.2)</f>
        <v/>
      </c>
      <c r="L96" s="60">
        <f>L53*($C$8/1.2)</f>
        <v/>
      </c>
      <c r="M96" s="60">
        <f>M53*($C$8/1.2)</f>
        <v/>
      </c>
      <c r="N96" s="60">
        <f>N53*($C$8/1.2)</f>
        <v/>
      </c>
      <c r="O96" s="60">
        <f>O53*($C$8/1.2)</f>
        <v/>
      </c>
      <c r="P96" s="60">
        <f>P53*($C$8/1.2)</f>
        <v/>
      </c>
      <c r="Q96" s="60">
        <f>Q53*($C$8/1.2)</f>
        <v/>
      </c>
      <c r="R96" s="60">
        <f>R53*($C$8/1.2)</f>
        <v/>
      </c>
      <c r="S96" s="60">
        <f>S53*($C$8/1.2)</f>
        <v/>
      </c>
      <c r="T96" s="60">
        <f>T53*($C$8/1.2)</f>
        <v/>
      </c>
      <c r="U96" s="60">
        <f>U53*($C$8/1.2)</f>
        <v/>
      </c>
      <c r="V96" s="60">
        <f>V53*($C$8/1.2)</f>
        <v/>
      </c>
      <c r="W96" s="60">
        <f>W53*($C$8/1.2)</f>
        <v/>
      </c>
      <c r="X96" s="60">
        <f>X53*($C$8/1.2)</f>
        <v/>
      </c>
      <c r="Y96" s="60">
        <f>Y53*($C$8/1.2)</f>
        <v/>
      </c>
      <c r="Z96" s="60">
        <f>Z53*($C$8/1.2)</f>
        <v/>
      </c>
      <c r="AA96" s="60">
        <f>AA53*($C$8/1.2)</f>
        <v/>
      </c>
      <c r="AB96" s="22">
        <f>SUM(B96:AA96)</f>
        <v/>
      </c>
    </row>
    <row r="97" ht="15.65" customHeight="1">
      <c r="A97" s="28" t="inlineStr">
        <is>
          <t>Premium Pop Up Gazebo With Sides</t>
        </is>
      </c>
      <c r="B97" s="35">
        <f>B54*($C$8/1.2)</f>
        <v/>
      </c>
      <c r="C97" s="35">
        <f>C54*($C$8/1.2)</f>
        <v/>
      </c>
      <c r="D97" s="35">
        <f>D54*($C$8/1.2)</f>
        <v/>
      </c>
      <c r="E97" s="35">
        <f>E54*($C$8/1.2)</f>
        <v/>
      </c>
      <c r="F97" s="35">
        <f>F54*($C$8/1.2)</f>
        <v/>
      </c>
      <c r="G97" s="60">
        <f>G54*($C$8/1.2)</f>
        <v/>
      </c>
      <c r="H97" s="60">
        <f>H54*($C$8/1.2)</f>
        <v/>
      </c>
      <c r="I97" s="60">
        <f>I54*($C$8/1.2)</f>
        <v/>
      </c>
      <c r="J97" s="60">
        <f>J54*($C$8/1.2)</f>
        <v/>
      </c>
      <c r="K97" s="60">
        <f>K54*($C$8/1.2)</f>
        <v/>
      </c>
      <c r="L97" s="60">
        <f>L54*($C$8/1.2)</f>
        <v/>
      </c>
      <c r="M97" s="60">
        <f>M54*($C$8/1.2)</f>
        <v/>
      </c>
      <c r="N97" s="60">
        <f>N54*($C$8/1.2)</f>
        <v/>
      </c>
      <c r="O97" s="60">
        <f>O54*($C$8/1.2)</f>
        <v/>
      </c>
      <c r="P97" s="60">
        <f>P54*($C$8/1.2)</f>
        <v/>
      </c>
      <c r="Q97" s="60">
        <f>Q54*($C$8/1.2)</f>
        <v/>
      </c>
      <c r="R97" s="60">
        <f>R54*($C$8/1.2)</f>
        <v/>
      </c>
      <c r="S97" s="60">
        <f>S54*($C$8/1.2)</f>
        <v/>
      </c>
      <c r="T97" s="60">
        <f>T54*($C$8/1.2)</f>
        <v/>
      </c>
      <c r="U97" s="60">
        <f>U54*($C$8/1.2)</f>
        <v/>
      </c>
      <c r="V97" s="60">
        <f>V54*($C$8/1.2)</f>
        <v/>
      </c>
      <c r="W97" s="60">
        <f>W54*($C$8/1.2)</f>
        <v/>
      </c>
      <c r="X97" s="60">
        <f>X54*($C$8/1.2)</f>
        <v/>
      </c>
      <c r="Y97" s="60">
        <f>Y54*($C$8/1.2)</f>
        <v/>
      </c>
      <c r="Z97" s="60">
        <f>Z54*($C$8/1.2)</f>
        <v/>
      </c>
      <c r="AA97" s="60">
        <f>AA54*($C$8/1.2)</f>
        <v/>
      </c>
      <c r="AB97" s="22">
        <f>SUM(B97:AA97)</f>
        <v/>
      </c>
    </row>
    <row r="98">
      <c r="A98" s="15" t="inlineStr">
        <is>
          <t>TOTAL</t>
        </is>
      </c>
      <c r="B98" s="23">
        <f>SUM(B83:B87)</f>
        <v/>
      </c>
      <c r="C98" s="23">
        <f>SUM(C83:C90)</f>
        <v/>
      </c>
      <c r="D98" s="23">
        <f>SUM(D83:D97)</f>
        <v/>
      </c>
      <c r="E98" s="23">
        <f>SUM(E83:E97)</f>
        <v/>
      </c>
      <c r="F98" s="23">
        <f>SUM(F83:F97)</f>
        <v/>
      </c>
      <c r="G98" s="23">
        <f>SUM(G83:G97)</f>
        <v/>
      </c>
      <c r="H98" s="23">
        <f>SUM(H83:H97)</f>
        <v/>
      </c>
      <c r="I98" s="23">
        <f>SUM(I83:I97)</f>
        <v/>
      </c>
      <c r="J98" s="23">
        <f>SUM(J83:J97)</f>
        <v/>
      </c>
      <c r="K98" s="23">
        <f>SUM(K83:K97)</f>
        <v/>
      </c>
      <c r="L98" s="23">
        <f>SUM(L83:L97)</f>
        <v/>
      </c>
      <c r="M98" s="23">
        <f>SUM(M83:M97)</f>
        <v/>
      </c>
      <c r="N98" s="23">
        <f>SUM(N83:N97)</f>
        <v/>
      </c>
      <c r="O98" s="23">
        <f>SUM(O83:O97)</f>
        <v/>
      </c>
      <c r="P98" s="23">
        <f>SUM(P83:P97)</f>
        <v/>
      </c>
      <c r="Q98" s="23">
        <f>SUM(Q83:Q97)</f>
        <v/>
      </c>
      <c r="R98" s="23">
        <f>SUM(R83:R97)</f>
        <v/>
      </c>
      <c r="S98" s="23">
        <f>SUM(S83:S97)</f>
        <v/>
      </c>
      <c r="T98" s="23">
        <f>SUM(T83:T97)</f>
        <v/>
      </c>
      <c r="U98" s="23">
        <f>SUM(U83:U97)</f>
        <v/>
      </c>
      <c r="V98" s="23">
        <f>SUM(V83:V97)</f>
        <v/>
      </c>
      <c r="W98" s="23">
        <f>SUM(W83:W97)</f>
        <v/>
      </c>
      <c r="X98" s="23">
        <f>SUM(X83:X97)</f>
        <v/>
      </c>
      <c r="Y98" s="23">
        <f>SUM(Y83:Y97)</f>
        <v/>
      </c>
      <c r="Z98" s="23">
        <f>SUM(Z83:Z97)</f>
        <v/>
      </c>
      <c r="AA98" s="23">
        <f>SUM(AA83:AA97)</f>
        <v/>
      </c>
      <c r="AB98" s="23">
        <f>SUM(AB83:AB97)</f>
        <v/>
      </c>
    </row>
    <row r="101" ht="18" customHeight="1">
      <c r="A101" s="19" t="inlineStr">
        <is>
          <t>GRAND TOTAL (£)</t>
        </is>
      </c>
      <c r="B101" s="24">
        <f>B79+B98</f>
        <v/>
      </c>
      <c r="C101" s="24">
        <f>C79+C98</f>
        <v/>
      </c>
      <c r="D101" s="24">
        <f>D79+D98</f>
        <v/>
      </c>
      <c r="E101" s="24">
        <f>E79+E98</f>
        <v/>
      </c>
      <c r="F101" s="24">
        <f>F79+F98</f>
        <v/>
      </c>
      <c r="G101" s="24">
        <f>G79+G98</f>
        <v/>
      </c>
      <c r="H101" s="24">
        <f>H79+H98</f>
        <v/>
      </c>
      <c r="I101" s="24">
        <f>I79+I98</f>
        <v/>
      </c>
      <c r="J101" s="24">
        <f>J79+J98</f>
        <v/>
      </c>
      <c r="K101" s="24">
        <f>K79+K98</f>
        <v/>
      </c>
      <c r="L101" s="24">
        <f>L79+L98</f>
        <v/>
      </c>
      <c r="M101" s="24">
        <f>M79+M98</f>
        <v/>
      </c>
      <c r="N101" s="24">
        <f>N79+N98</f>
        <v/>
      </c>
      <c r="O101" s="24">
        <f>O79+O98</f>
        <v/>
      </c>
      <c r="P101" s="24">
        <f>P79+P98</f>
        <v/>
      </c>
      <c r="Q101" s="24">
        <f>Q79+Q98</f>
        <v/>
      </c>
      <c r="R101" s="24">
        <f>R79+R98</f>
        <v/>
      </c>
      <c r="S101" s="24">
        <f>S79+S98</f>
        <v/>
      </c>
      <c r="T101" s="24">
        <f>T79+T98</f>
        <v/>
      </c>
      <c r="U101" s="24">
        <f>U79+U98</f>
        <v/>
      </c>
      <c r="V101" s="24">
        <f>V79+V98</f>
        <v/>
      </c>
      <c r="W101" s="24">
        <f>W79+W98</f>
        <v/>
      </c>
      <c r="X101" s="24">
        <f>X79+X98</f>
        <v/>
      </c>
      <c r="Y101" s="24">
        <f>Y79+Y98</f>
        <v/>
      </c>
      <c r="Z101" s="24">
        <f>Z79+Z98</f>
        <v/>
      </c>
      <c r="AA101" s="24">
        <f>AA79+AA98</f>
        <v/>
      </c>
      <c r="AB101" s="24">
        <f>AB79+AB98</f>
        <v/>
      </c>
    </row>
    <row r="102" ht="18" customHeight="1">
      <c r="A102" s="19" t="inlineStr">
        <is>
          <t>MONTHLY TOTAL (£)</t>
        </is>
      </c>
      <c r="B102" s="33" t="n"/>
      <c r="C102" s="33" t="n"/>
      <c r="D102" s="33" t="n"/>
      <c r="E102" s="24">
        <f>SUM(A101:E101)</f>
        <v/>
      </c>
      <c r="I102" s="33" t="n"/>
      <c r="J102" s="24">
        <f>SUM(F101:J101)</f>
        <v/>
      </c>
      <c r="N102" s="24">
        <f>SUM(K101:N101)</f>
        <v/>
      </c>
      <c r="O102" s="33" t="n"/>
      <c r="P102" s="33" t="n"/>
      <c r="Q102" s="33" t="n"/>
      <c r="R102" s="24">
        <f>SUM(O101:R101)</f>
        <v/>
      </c>
      <c r="S102" s="33" t="n"/>
      <c r="T102" s="33" t="n"/>
      <c r="U102" s="33" t="n"/>
      <c r="V102" s="33" t="n"/>
      <c r="W102" s="24">
        <f>SUM(S101:W101)</f>
        <v/>
      </c>
      <c r="X102" s="33" t="n"/>
      <c r="Y102" s="33" t="n"/>
      <c r="Z102" s="33" t="n"/>
      <c r="AA102" s="24">
        <f>SUM(X101:AA101)</f>
        <v/>
      </c>
      <c r="AB102" s="33" t="n"/>
    </row>
  </sheetData>
  <mergeCells count="24">
    <mergeCell ref="O19:S19"/>
    <mergeCell ref="F19:J19"/>
    <mergeCell ref="K38:N38"/>
    <mergeCell ref="T81:W81"/>
    <mergeCell ref="T19:W19"/>
    <mergeCell ref="X81:AA81"/>
    <mergeCell ref="K19:N19"/>
    <mergeCell ref="K62:N62"/>
    <mergeCell ref="B62:E62"/>
    <mergeCell ref="B81:E81"/>
    <mergeCell ref="T38:W38"/>
    <mergeCell ref="F62:J62"/>
    <mergeCell ref="F81:J81"/>
    <mergeCell ref="F38:J38"/>
    <mergeCell ref="O62:S62"/>
    <mergeCell ref="X19:AA19"/>
    <mergeCell ref="T62:W62"/>
    <mergeCell ref="K81:N81"/>
    <mergeCell ref="X62:AA62"/>
    <mergeCell ref="B38:E38"/>
    <mergeCell ref="O81:S81"/>
    <mergeCell ref="O38:S38"/>
    <mergeCell ref="B19:E19"/>
    <mergeCell ref="X38:AA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K31"/>
  <sheetViews>
    <sheetView zoomScale="110" zoomScaleNormal="110" workbookViewId="0">
      <selection activeCell="D36" sqref="D36"/>
    </sheetView>
  </sheetViews>
  <sheetFormatPr baseColWidth="8" defaultRowHeight="14.5"/>
  <cols>
    <col width="59.81640625" customWidth="1" min="1" max="1"/>
    <col width="23.26953125" customWidth="1" min="2" max="6"/>
    <col width="24.26953125" customWidth="1" min="7" max="7"/>
    <col width="21.54296875" customWidth="1" min="8" max="9"/>
    <col width="23.453125" customWidth="1" min="10" max="10"/>
    <col width="22.26953125" customWidth="1" min="11" max="11"/>
  </cols>
  <sheetData>
    <row r="1" ht="15.65" customHeight="1">
      <c r="A1" s="64" t="inlineStr">
        <is>
          <t>Product Name</t>
        </is>
      </c>
      <c r="B1" s="64" t="inlineStr">
        <is>
          <t>Account Name</t>
        </is>
      </c>
      <c r="C1" s="64" t="inlineStr">
        <is>
          <t>Qty Sold</t>
        </is>
      </c>
      <c r="D1" s="64" t="inlineStr">
        <is>
          <t>Total Qty Sold</t>
        </is>
      </c>
      <c r="E1" s="64" t="inlineStr">
        <is>
          <t>Total Qty Purchased</t>
        </is>
      </c>
      <c r="F1" s="64" t="inlineStr">
        <is>
          <t>Inventory</t>
        </is>
      </c>
      <c r="G1" s="81" t="n"/>
      <c r="H1" s="64" t="inlineStr">
        <is>
          <t>Shop</t>
        </is>
      </c>
      <c r="I1" s="64" t="inlineStr">
        <is>
          <t>Stock Update 19.05</t>
        </is>
      </c>
      <c r="J1" s="64" t="inlineStr">
        <is>
          <t>Stock Update 29.05</t>
        </is>
      </c>
      <c r="K1" s="64" t="inlineStr">
        <is>
          <t>Stock Update 16.06</t>
        </is>
      </c>
    </row>
    <row r="2" hidden="1" ht="15.65" customHeight="1">
      <c r="A2" s="92" t="inlineStr">
        <is>
          <t>Heavy Duty Storage Box - 270L / Taupe</t>
        </is>
      </c>
      <c r="B2" s="92" t="inlineStr">
        <is>
          <t>B&amp;Q Marketplace</t>
        </is>
      </c>
      <c r="C2" s="92">
        <f>'SALES TRACKER'!AB40</f>
        <v/>
      </c>
      <c r="D2" s="91">
        <f>C2+C3</f>
        <v/>
      </c>
      <c r="E2" s="91" t="n">
        <v>320</v>
      </c>
      <c r="F2" s="91">
        <f>E2-D2</f>
        <v/>
      </c>
      <c r="G2" s="41" t="n"/>
      <c r="H2" s="92" t="inlineStr">
        <is>
          <t>B&amp;Q Marketplace</t>
        </is>
      </c>
      <c r="I2" s="66" t="n">
        <v>100</v>
      </c>
      <c r="J2" s="4" t="n">
        <v>100</v>
      </c>
      <c r="K2" s="4" t="n">
        <v>100</v>
      </c>
    </row>
    <row r="3" ht="15.65" customHeight="1">
      <c r="A3" s="90" t="n"/>
      <c r="B3" s="92" t="inlineStr">
        <is>
          <t>John Lewis D2C</t>
        </is>
      </c>
      <c r="C3" s="92">
        <f>'SALES TRACKER'!AB21</f>
        <v/>
      </c>
      <c r="D3" s="90" t="n"/>
      <c r="E3" s="90" t="n"/>
      <c r="F3" s="90" t="n"/>
      <c r="G3" s="41" t="n"/>
      <c r="H3" s="92" t="inlineStr">
        <is>
          <t>John Lewis D2C</t>
        </is>
      </c>
      <c r="I3" s="66" t="n">
        <v>183</v>
      </c>
      <c r="J3" s="4" t="n">
        <v>169</v>
      </c>
      <c r="K3" s="4" t="n">
        <v>114</v>
      </c>
    </row>
    <row r="4" hidden="1" ht="15.65" customHeight="1">
      <c r="A4" s="92" t="inlineStr">
        <is>
          <t>Heavy Duty Storage Box - 450L / Taupe</t>
        </is>
      </c>
      <c r="B4" s="92" t="inlineStr">
        <is>
          <t>B&amp;Q Marketplace</t>
        </is>
      </c>
      <c r="C4" s="92">
        <f>'SALES TRACKER'!AB41</f>
        <v/>
      </c>
      <c r="D4" s="91">
        <f>C4+C5</f>
        <v/>
      </c>
      <c r="E4" s="91" t="n">
        <v>225</v>
      </c>
      <c r="F4" s="91">
        <f>E4-D4</f>
        <v/>
      </c>
      <c r="G4" s="41" t="n"/>
      <c r="H4" s="92" t="inlineStr">
        <is>
          <t>B&amp;Q Marketplace</t>
        </is>
      </c>
      <c r="I4" s="66" t="n">
        <v>86</v>
      </c>
      <c r="J4" s="4" t="n">
        <v>84</v>
      </c>
      <c r="K4" s="4" t="n">
        <v>50</v>
      </c>
    </row>
    <row r="5" ht="15.65" customHeight="1">
      <c r="A5" s="90" t="n"/>
      <c r="B5" s="92" t="inlineStr">
        <is>
          <t>John Lewis D2C</t>
        </is>
      </c>
      <c r="C5" s="92">
        <f>'SALES TRACKER'!AB22</f>
        <v/>
      </c>
      <c r="D5" s="90" t="n"/>
      <c r="E5" s="90" t="n"/>
      <c r="F5" s="90" t="n"/>
      <c r="G5" s="41" t="n"/>
      <c r="H5" s="92" t="inlineStr">
        <is>
          <t>John Lewis D2C</t>
        </is>
      </c>
      <c r="I5" s="66" t="n">
        <v>100</v>
      </c>
      <c r="J5" s="4" t="n">
        <v>84</v>
      </c>
      <c r="K5" s="4" t="n">
        <v>60</v>
      </c>
    </row>
    <row r="6" hidden="1" ht="15.65" customHeight="1">
      <c r="A6" s="92" t="inlineStr">
        <is>
          <t>Heavy Duty Storage Box - 680L / Black</t>
        </is>
      </c>
      <c r="B6" s="92" t="inlineStr">
        <is>
          <t>B&amp;Q Marketplace</t>
        </is>
      </c>
      <c r="C6" s="92">
        <f>'SALES TRACKER'!AB42</f>
        <v/>
      </c>
      <c r="D6" s="91" t="n">
        <v>99</v>
      </c>
      <c r="E6" s="91" t="n">
        <v>99</v>
      </c>
      <c r="F6" s="94">
        <f>E6-D6</f>
        <v/>
      </c>
      <c r="G6" s="41" t="n"/>
      <c r="H6" s="92" t="inlineStr">
        <is>
          <t>B&amp;Q Marketplace</t>
        </is>
      </c>
      <c r="I6" s="66" t="n">
        <v>37</v>
      </c>
      <c r="J6" s="4" t="n">
        <v>29</v>
      </c>
      <c r="K6" s="4" t="n">
        <v>3</v>
      </c>
    </row>
    <row r="7" ht="15.65" customHeight="1">
      <c r="A7" s="90" t="n"/>
      <c r="B7" s="92" t="inlineStr">
        <is>
          <t>John Lewis D2C</t>
        </is>
      </c>
      <c r="C7" s="92">
        <f>'SALES TRACKER'!AB23</f>
        <v/>
      </c>
      <c r="D7" s="90" t="n"/>
      <c r="E7" s="90" t="n"/>
      <c r="F7" s="90" t="n"/>
      <c r="G7" s="41" t="n"/>
      <c r="H7" s="92" t="inlineStr">
        <is>
          <t>John Lewis D2C</t>
        </is>
      </c>
      <c r="I7" s="66" t="n">
        <v>37</v>
      </c>
      <c r="J7" s="4" t="n">
        <v>30</v>
      </c>
      <c r="K7" s="4" t="n">
        <v>0</v>
      </c>
    </row>
    <row r="8" hidden="1" ht="15.65" customHeight="1">
      <c r="A8" s="92" t="inlineStr">
        <is>
          <t>Heavy Duty Storage Box - 680L / Taupe</t>
        </is>
      </c>
      <c r="B8" s="92" t="inlineStr">
        <is>
          <t>B&amp;Q Marketplace</t>
        </is>
      </c>
      <c r="C8" s="92">
        <f>'SALES TRACKER'!AB43</f>
        <v/>
      </c>
      <c r="D8" s="91">
        <f>C8+C9</f>
        <v/>
      </c>
      <c r="E8" s="91" t="n">
        <v>180</v>
      </c>
      <c r="F8" s="91">
        <f>E8-D8</f>
        <v/>
      </c>
      <c r="G8" s="41" t="n"/>
      <c r="H8" s="92" t="inlineStr">
        <is>
          <t>B&amp;Q Marketplace</t>
        </is>
      </c>
      <c r="I8" s="66" t="n">
        <v>70</v>
      </c>
      <c r="J8" s="4" t="n">
        <v>50</v>
      </c>
      <c r="K8" s="4" t="n">
        <v>20</v>
      </c>
    </row>
    <row r="9" ht="15.65" customHeight="1">
      <c r="A9" s="90" t="n"/>
      <c r="B9" s="92" t="inlineStr">
        <is>
          <t>John Lewis D2C</t>
        </is>
      </c>
      <c r="C9" s="92">
        <f>'SALES TRACKER'!AB24</f>
        <v/>
      </c>
      <c r="D9" s="90" t="n"/>
      <c r="E9" s="90" t="n"/>
      <c r="F9" s="90" t="n"/>
      <c r="G9" s="41" t="n"/>
      <c r="H9" s="92" t="inlineStr">
        <is>
          <t>John Lewis D2C</t>
        </is>
      </c>
      <c r="I9" s="66" t="n">
        <v>69</v>
      </c>
      <c r="J9" s="4" t="n">
        <v>66</v>
      </c>
      <c r="K9" s="4" t="n">
        <v>23</v>
      </c>
    </row>
    <row r="10" hidden="1" ht="15.65" customHeight="1">
      <c r="A10" s="92" t="inlineStr">
        <is>
          <t>Heavy Duty Storage Box - 870L / Black</t>
        </is>
      </c>
      <c r="B10" s="92" t="inlineStr">
        <is>
          <t>B&amp;Q Marketplace</t>
        </is>
      </c>
      <c r="C10" s="92">
        <f>'SALES TRACKER'!AB44</f>
        <v/>
      </c>
      <c r="D10" s="91">
        <f>C10+C11</f>
        <v/>
      </c>
      <c r="E10" s="91" t="n">
        <v>67</v>
      </c>
      <c r="F10" s="91">
        <f>E10-D10</f>
        <v/>
      </c>
      <c r="G10" s="41" t="n"/>
      <c r="H10" s="92" t="inlineStr">
        <is>
          <t>B&amp;Q Marketplace</t>
        </is>
      </c>
      <c r="I10" s="66" t="n">
        <v>0</v>
      </c>
      <c r="J10" s="4" t="n">
        <v>0</v>
      </c>
      <c r="K10" s="4" t="n">
        <v>0</v>
      </c>
    </row>
    <row r="11" ht="15.65" customHeight="1">
      <c r="A11" s="90" t="n"/>
      <c r="B11" s="92" t="inlineStr">
        <is>
          <t>John Lewis D2C</t>
        </is>
      </c>
      <c r="C11" s="92">
        <f>'SALES TRACKER'!AB25</f>
        <v/>
      </c>
      <c r="D11" s="90" t="n"/>
      <c r="E11" s="90" t="n"/>
      <c r="F11" s="90" t="n"/>
      <c r="G11" s="41" t="n"/>
      <c r="H11" s="92" t="inlineStr">
        <is>
          <t>John Lewis D2C</t>
        </is>
      </c>
      <c r="I11" s="66" t="n">
        <v>21</v>
      </c>
      <c r="J11" s="4" t="n">
        <v>0</v>
      </c>
      <c r="K11" s="4" t="n">
        <v>0</v>
      </c>
    </row>
    <row r="12" hidden="1" ht="15.65" customHeight="1">
      <c r="A12" s="92" t="inlineStr">
        <is>
          <t>Heavy Duty Storage Box - 870L / Taupe</t>
        </is>
      </c>
      <c r="B12" s="92" t="inlineStr">
        <is>
          <t>B&amp;Q Marketplace</t>
        </is>
      </c>
      <c r="C12" s="92">
        <f>'SALES TRACKER'!AB45</f>
        <v/>
      </c>
      <c r="D12" s="91">
        <f>C12+C13</f>
        <v/>
      </c>
      <c r="E12" s="91" t="n">
        <v>100</v>
      </c>
      <c r="F12" s="91">
        <f>E12-D12</f>
        <v/>
      </c>
      <c r="G12" s="41" t="n"/>
      <c r="H12" s="92" t="inlineStr">
        <is>
          <t>B&amp;Q Marketplace</t>
        </is>
      </c>
      <c r="I12" s="66" t="n">
        <v>5</v>
      </c>
      <c r="J12" s="4" t="n">
        <v>5</v>
      </c>
      <c r="K12" s="4" t="n">
        <v>6</v>
      </c>
    </row>
    <row r="13" ht="15.65" customHeight="1">
      <c r="A13" s="90" t="n"/>
      <c r="B13" s="92" t="inlineStr">
        <is>
          <t>John Lewis D2C</t>
        </is>
      </c>
      <c r="C13" s="92">
        <f>'SALES TRACKER'!AB26</f>
        <v/>
      </c>
      <c r="D13" s="90" t="n"/>
      <c r="E13" s="90" t="n"/>
      <c r="F13" s="90" t="n"/>
      <c r="G13" s="41" t="n"/>
      <c r="H13" s="92" t="inlineStr">
        <is>
          <t>John Lewis D2C</t>
        </is>
      </c>
      <c r="I13" s="66" t="n">
        <v>28</v>
      </c>
      <c r="J13" s="4" t="n">
        <v>6</v>
      </c>
      <c r="K13" s="4" t="n">
        <v>0</v>
      </c>
    </row>
    <row r="14" hidden="1" ht="15.65" customHeight="1">
      <c r="A14" s="92" t="inlineStr">
        <is>
          <t>Heavy Duty Storage Box - 980L / Black</t>
        </is>
      </c>
      <c r="B14" s="92" t="inlineStr">
        <is>
          <t>B&amp;Q Marketplace</t>
        </is>
      </c>
      <c r="C14" s="92">
        <f>'SALES TRACKER'!AB46</f>
        <v/>
      </c>
      <c r="D14" s="91">
        <f>C14+C15</f>
        <v/>
      </c>
      <c r="E14" s="91" t="n">
        <v>100</v>
      </c>
      <c r="F14" s="91">
        <f>E14-D14</f>
        <v/>
      </c>
      <c r="G14" s="41" t="n"/>
      <c r="H14" s="92" t="inlineStr">
        <is>
          <t>B&amp;Q Marketplace</t>
        </is>
      </c>
      <c r="I14" s="66" t="n">
        <v>5</v>
      </c>
      <c r="J14" s="4" t="n">
        <v>2</v>
      </c>
      <c r="K14" s="4" t="n">
        <v>5</v>
      </c>
    </row>
    <row r="15" ht="15.65" customHeight="1">
      <c r="A15" s="90" t="n"/>
      <c r="B15" s="92" t="inlineStr">
        <is>
          <t>John Lewis D2C</t>
        </is>
      </c>
      <c r="C15" s="92">
        <f>'SALES TRACKER'!AB27</f>
        <v/>
      </c>
      <c r="D15" s="90" t="n"/>
      <c r="E15" s="90" t="n"/>
      <c r="F15" s="90" t="n"/>
      <c r="G15" s="41" t="n"/>
      <c r="H15" s="92" t="inlineStr">
        <is>
          <t>John Lewis D2C</t>
        </is>
      </c>
      <c r="I15" s="66" t="n">
        <v>25</v>
      </c>
      <c r="J15" s="4" t="n">
        <v>6</v>
      </c>
      <c r="K15" s="4" t="n">
        <v>0</v>
      </c>
    </row>
    <row r="16" hidden="1" ht="15.65" customHeight="1">
      <c r="A16" s="92" t="inlineStr">
        <is>
          <t>Heavy Duty Storage Box - 980L / Taupe</t>
        </is>
      </c>
      <c r="B16" s="92" t="inlineStr">
        <is>
          <t>B&amp;Q Marketplace</t>
        </is>
      </c>
      <c r="C16" s="92">
        <f>'SALES TRACKER'!AB47</f>
        <v/>
      </c>
      <c r="D16" s="91">
        <f>C16+C17</f>
        <v/>
      </c>
      <c r="E16" s="91" t="n">
        <v>100</v>
      </c>
      <c r="F16" s="91">
        <f>E16-D16</f>
        <v/>
      </c>
      <c r="G16" s="41" t="n"/>
      <c r="H16" s="92" t="inlineStr">
        <is>
          <t>B&amp;Q Marketplace</t>
        </is>
      </c>
      <c r="I16" s="66" t="n">
        <v>0</v>
      </c>
      <c r="J16" s="4" t="n">
        <v>0</v>
      </c>
      <c r="K16" s="4" t="n">
        <v>0</v>
      </c>
    </row>
    <row r="17" ht="15.65" customHeight="1">
      <c r="A17" s="90" t="n"/>
      <c r="B17" s="92" t="inlineStr">
        <is>
          <t>John Lewis D2C</t>
        </is>
      </c>
      <c r="C17" s="92">
        <f>'SALES TRACKER'!AB28</f>
        <v/>
      </c>
      <c r="D17" s="90" t="n"/>
      <c r="E17" s="90" t="n"/>
      <c r="F17" s="90" t="n"/>
      <c r="G17" s="41" t="n"/>
      <c r="H17" s="92" t="inlineStr">
        <is>
          <t>John Lewis D2C</t>
        </is>
      </c>
      <c r="I17" s="66" t="n">
        <v>19</v>
      </c>
      <c r="J17" s="4" t="n">
        <v>0</v>
      </c>
      <c r="K17" s="4" t="n">
        <v>0</v>
      </c>
    </row>
    <row r="18" hidden="1" ht="15.65" customHeight="1">
      <c r="A18" s="89" t="inlineStr">
        <is>
          <t>L Premium Metal Storage Box - 683L / Green</t>
        </is>
      </c>
      <c r="B18" s="92" t="inlineStr">
        <is>
          <t>B&amp;Q Marketplace</t>
        </is>
      </c>
      <c r="C18" s="92">
        <f>'SALES TRACKER'!AB48</f>
        <v/>
      </c>
      <c r="D18" s="91">
        <f>C18+C19</f>
        <v/>
      </c>
      <c r="E18" s="91" t="n">
        <v>30</v>
      </c>
      <c r="F18" s="91">
        <f>E18-D18</f>
        <v/>
      </c>
      <c r="G18" s="41" t="n"/>
      <c r="H18" s="92" t="inlineStr">
        <is>
          <t>B&amp;Q Marketplace</t>
        </is>
      </c>
      <c r="I18" s="66" t="n">
        <v>5</v>
      </c>
      <c r="J18" s="4" t="n">
        <v>8</v>
      </c>
      <c r="K18" s="4" t="n">
        <v>5</v>
      </c>
    </row>
    <row r="19" ht="15.65" customHeight="1">
      <c r="A19" s="90" t="n"/>
      <c r="B19" s="92" t="inlineStr">
        <is>
          <t>John Lewis D2C</t>
        </is>
      </c>
      <c r="C19" s="92">
        <f>'SALES TRACKER'!AB29</f>
        <v/>
      </c>
      <c r="D19" s="90" t="n"/>
      <c r="E19" s="90" t="n"/>
      <c r="F19" s="90" t="n"/>
      <c r="G19" s="41" t="n"/>
      <c r="H19" s="92" t="inlineStr">
        <is>
          <t>John Lewis D2C</t>
        </is>
      </c>
      <c r="I19" s="66" t="n">
        <v>20</v>
      </c>
      <c r="J19" s="4" t="n">
        <v>15</v>
      </c>
      <c r="K19" s="4" t="n">
        <v>7</v>
      </c>
    </row>
    <row r="20" hidden="1" ht="15.65" customHeight="1">
      <c r="A20" s="89" t="inlineStr">
        <is>
          <t>L Premium Metal Storage Box - 683L / Grey</t>
        </is>
      </c>
      <c r="B20" s="92" t="inlineStr">
        <is>
          <t>B&amp;Q Marketplace</t>
        </is>
      </c>
      <c r="C20" s="92">
        <f>'SALES TRACKER'!AB49</f>
        <v/>
      </c>
      <c r="D20" s="91">
        <f>C20+C21</f>
        <v/>
      </c>
      <c r="E20" s="91" t="n">
        <v>30</v>
      </c>
      <c r="F20" s="91">
        <f>E20-D20</f>
        <v/>
      </c>
      <c r="G20" s="41" t="n"/>
      <c r="H20" s="92" t="inlineStr">
        <is>
          <t>B&amp;Q Marketplace</t>
        </is>
      </c>
      <c r="I20" s="66" t="n">
        <v>9</v>
      </c>
      <c r="J20" s="4" t="n">
        <v>14</v>
      </c>
      <c r="K20" s="4" t="n">
        <v>10</v>
      </c>
    </row>
    <row r="21" ht="15.65" customHeight="1">
      <c r="A21" s="90" t="n"/>
      <c r="B21" s="92" t="inlineStr">
        <is>
          <t>John Lewis D2C</t>
        </is>
      </c>
      <c r="C21" s="92">
        <f>'SALES TRACKER'!AB32</f>
        <v/>
      </c>
      <c r="D21" s="90" t="n"/>
      <c r="E21" s="90" t="n"/>
      <c r="F21" s="90" t="n"/>
      <c r="G21" s="41" t="n"/>
      <c r="H21" s="92" t="inlineStr">
        <is>
          <t>John Lewis D2C</t>
        </is>
      </c>
      <c r="I21" s="66" t="n">
        <v>20</v>
      </c>
      <c r="J21" s="4" t="n">
        <v>15</v>
      </c>
      <c r="K21" s="4" t="n">
        <v>16</v>
      </c>
    </row>
    <row r="22" hidden="1" ht="15.65" customHeight="1">
      <c r="A22" s="89" t="inlineStr">
        <is>
          <t>XL Premium Metal Storage Box - 1056L / Green</t>
        </is>
      </c>
      <c r="B22" s="92" t="inlineStr">
        <is>
          <t>B&amp;Q Marketplace</t>
        </is>
      </c>
      <c r="C22" s="92">
        <f>'SALES TRACKER'!AB50</f>
        <v/>
      </c>
      <c r="D22" s="91">
        <f>C22+C23</f>
        <v/>
      </c>
      <c r="E22" s="91" t="n">
        <v>30</v>
      </c>
      <c r="F22" s="91">
        <f>E22-D22</f>
        <v/>
      </c>
      <c r="G22" s="41" t="n"/>
      <c r="H22" s="92" t="inlineStr">
        <is>
          <t>B&amp;Q Marketplace</t>
        </is>
      </c>
      <c r="I22" s="66" t="n">
        <v>6</v>
      </c>
      <c r="J22" s="4" t="n">
        <v>9</v>
      </c>
      <c r="K22" s="4" t="n">
        <v>7</v>
      </c>
    </row>
    <row r="23" ht="15.65" customHeight="1">
      <c r="A23" s="90" t="n"/>
      <c r="B23" s="92" t="inlineStr">
        <is>
          <t>John Lewis D2C</t>
        </is>
      </c>
      <c r="C23" s="92">
        <f>'SALES TRACKER'!AB31</f>
        <v/>
      </c>
      <c r="D23" s="90" t="n"/>
      <c r="E23" s="90" t="n"/>
      <c r="F23" s="90" t="n"/>
      <c r="G23" s="41" t="n"/>
      <c r="H23" s="92" t="inlineStr">
        <is>
          <t>John Lewis D2C</t>
        </is>
      </c>
      <c r="I23" s="66" t="n">
        <v>20</v>
      </c>
      <c r="J23" s="4" t="n">
        <v>15</v>
      </c>
      <c r="K23" s="82" t="n">
        <v>10</v>
      </c>
    </row>
    <row r="24" hidden="1" ht="15.65" customHeight="1">
      <c r="A24" s="89" t="inlineStr">
        <is>
          <t>XL Premium Metal Storage Box - 1056L / Grey</t>
        </is>
      </c>
      <c r="B24" s="92" t="inlineStr">
        <is>
          <t>B&amp;Q Marketplace</t>
        </is>
      </c>
      <c r="C24" s="92">
        <f>'SALES TRACKER'!AB51</f>
        <v/>
      </c>
      <c r="D24" s="91">
        <f>C24+C25</f>
        <v/>
      </c>
      <c r="E24" s="91" t="n">
        <v>30</v>
      </c>
      <c r="F24" s="91">
        <f>E24-D24</f>
        <v/>
      </c>
      <c r="G24" s="41" t="n"/>
      <c r="H24" s="92" t="inlineStr">
        <is>
          <t>B&amp;Q Marketplace</t>
        </is>
      </c>
      <c r="I24" s="66" t="n">
        <v>8</v>
      </c>
      <c r="J24" s="4" t="n">
        <v>11</v>
      </c>
      <c r="K24" s="4" t="n">
        <v>10</v>
      </c>
    </row>
    <row r="25" ht="15.65" customHeight="1">
      <c r="A25" s="90" t="n"/>
      <c r="B25" s="92" t="inlineStr">
        <is>
          <t>John Lewis D2C</t>
        </is>
      </c>
      <c r="C25" s="92">
        <f>'SALES TRACKER'!AB32</f>
        <v/>
      </c>
      <c r="D25" s="90" t="n"/>
      <c r="E25" s="90" t="n"/>
      <c r="F25" s="90" t="n"/>
      <c r="G25" s="41" t="n"/>
      <c r="H25" s="92" t="inlineStr">
        <is>
          <t>John Lewis D2C</t>
        </is>
      </c>
      <c r="I25" s="66" t="n">
        <v>20</v>
      </c>
      <c r="J25" s="4" t="n">
        <v>15</v>
      </c>
      <c r="K25" s="4" t="n">
        <v>15</v>
      </c>
    </row>
    <row r="26" hidden="1" ht="15.65" customHeight="1">
      <c r="A26" s="93" t="inlineStr">
        <is>
          <t>3m Luxury Hydraulic Parasol with 45kg Base and Cover - Grey</t>
        </is>
      </c>
      <c r="B26" s="92" t="inlineStr">
        <is>
          <t>B&amp;Q Marketplace</t>
        </is>
      </c>
      <c r="C26" s="92">
        <f>'SALES TRACKER'!AB52</f>
        <v/>
      </c>
      <c r="D26" s="91">
        <f>C26+C27</f>
        <v/>
      </c>
      <c r="E26" s="91" t="n">
        <v>50</v>
      </c>
      <c r="F26" s="91">
        <f>E26-D26</f>
        <v/>
      </c>
      <c r="G26" s="41" t="n"/>
      <c r="H26" s="92" t="inlineStr">
        <is>
          <t>B&amp;Q Marketplace</t>
        </is>
      </c>
      <c r="I26" s="66" t="n">
        <v>47</v>
      </c>
      <c r="J26" s="4" t="n">
        <v>40</v>
      </c>
      <c r="K26" s="4" t="n">
        <v>10</v>
      </c>
    </row>
    <row r="27" ht="15.65" customHeight="1">
      <c r="A27" s="90" t="n"/>
      <c r="B27" s="92" t="inlineStr">
        <is>
          <t>John Lewis D2C</t>
        </is>
      </c>
      <c r="C27" s="92">
        <f>'SALES TRACKER'!AB33</f>
        <v/>
      </c>
      <c r="D27" s="90" t="n"/>
      <c r="E27" s="90" t="n"/>
      <c r="F27" s="90" t="n"/>
      <c r="G27" s="41" t="n"/>
      <c r="H27" s="92" t="inlineStr">
        <is>
          <t>John Lewis D2C</t>
        </is>
      </c>
      <c r="I27" s="66" t="n">
        <v>50</v>
      </c>
      <c r="J27" s="4" t="n">
        <v>49</v>
      </c>
      <c r="K27" s="4" t="n">
        <v>13</v>
      </c>
    </row>
    <row r="28" hidden="1" ht="15.65" customHeight="1">
      <c r="A28" s="93" t="inlineStr">
        <is>
          <t>3m Luxury Hydraulic Parasol with 45kg Base and Cover - Natural</t>
        </is>
      </c>
      <c r="B28" s="92" t="inlineStr">
        <is>
          <t>B&amp;Q Marketplace</t>
        </is>
      </c>
      <c r="C28" s="92">
        <f>'SALES TRACKER'!AB53</f>
        <v/>
      </c>
      <c r="D28" s="91">
        <f>C28+C29</f>
        <v/>
      </c>
      <c r="E28" s="91" t="n">
        <v>50</v>
      </c>
      <c r="F28" s="91">
        <f>E28-D28</f>
        <v/>
      </c>
      <c r="G28" s="41" t="n"/>
      <c r="H28" s="92" t="inlineStr">
        <is>
          <t>B&amp;Q Marketplace</t>
        </is>
      </c>
      <c r="I28" s="66" t="n">
        <v>46</v>
      </c>
      <c r="J28" s="4" t="n">
        <v>40</v>
      </c>
      <c r="K28" s="4" t="n">
        <v>10</v>
      </c>
    </row>
    <row r="29" ht="15.65" customHeight="1">
      <c r="A29" s="90" t="n"/>
      <c r="B29" s="78" t="inlineStr">
        <is>
          <t>John Lewis D2C</t>
        </is>
      </c>
      <c r="C29" s="78">
        <f>'SALES TRACKER'!AB34</f>
        <v/>
      </c>
      <c r="D29" s="90" t="n"/>
      <c r="E29" s="90" t="n"/>
      <c r="F29" s="90" t="n"/>
      <c r="G29" s="41" t="n"/>
      <c r="H29" s="78" t="inlineStr">
        <is>
          <t>John Lewis D2C</t>
        </is>
      </c>
      <c r="I29" s="66" t="n">
        <v>50</v>
      </c>
      <c r="J29" s="4" t="n">
        <v>40</v>
      </c>
      <c r="K29" s="4" t="n">
        <v>14</v>
      </c>
    </row>
    <row r="30" hidden="1" ht="15.65" customHeight="1">
      <c r="A30" s="93" t="inlineStr">
        <is>
          <t>Premium Pop Up Gazebo With Sides</t>
        </is>
      </c>
      <c r="B30" s="92" t="inlineStr">
        <is>
          <t>B&amp;Q Marketplace</t>
        </is>
      </c>
      <c r="C30" s="92">
        <f>'SALES TRACKER'!AB54</f>
        <v/>
      </c>
      <c r="D30" s="91">
        <f>C30+C31</f>
        <v/>
      </c>
      <c r="E30" s="91" t="n">
        <v>100</v>
      </c>
      <c r="F30" s="91">
        <f>E30-D30</f>
        <v/>
      </c>
      <c r="G30" s="41" t="n"/>
      <c r="H30" s="92" t="inlineStr">
        <is>
          <t>B&amp;Q Marketplace</t>
        </is>
      </c>
      <c r="I30" s="66" t="n">
        <v>45</v>
      </c>
      <c r="J30" s="4" t="n">
        <v>42</v>
      </c>
      <c r="K30" s="4" t="n">
        <v>20</v>
      </c>
    </row>
    <row r="31" ht="15.65" customHeight="1">
      <c r="A31" s="90" t="n"/>
      <c r="B31" s="78" t="inlineStr">
        <is>
          <t>John Lewis D2C</t>
        </is>
      </c>
      <c r="C31" s="78">
        <f>'SALES TRACKER'!AB35</f>
        <v/>
      </c>
      <c r="D31" s="90" t="n"/>
      <c r="E31" s="90" t="n"/>
      <c r="F31" s="90" t="n"/>
      <c r="G31" s="41" t="n"/>
      <c r="H31" s="78" t="inlineStr">
        <is>
          <t>John Lewis D2C</t>
        </is>
      </c>
      <c r="I31" s="66" t="n">
        <v>50</v>
      </c>
      <c r="J31" s="4" t="n">
        <v>50</v>
      </c>
      <c r="K31" s="4" t="n">
        <v>24</v>
      </c>
    </row>
  </sheetData>
  <autoFilter ref="A1:J31">
    <filterColumn colId="1" hiddenButton="0" showButton="1">
      <filters>
        <filter val="John Lewis D2C"/>
      </filters>
    </filterColumn>
  </autoFilter>
  <mergeCells count="60">
    <mergeCell ref="A24:A25"/>
    <mergeCell ref="E8:E9"/>
    <mergeCell ref="E4:E5"/>
    <mergeCell ref="F12:F13"/>
    <mergeCell ref="E20:E21"/>
    <mergeCell ref="A16:A17"/>
    <mergeCell ref="A6:A7"/>
    <mergeCell ref="F20:F21"/>
    <mergeCell ref="D2:D3"/>
    <mergeCell ref="E10:E11"/>
    <mergeCell ref="F2:F3"/>
    <mergeCell ref="F18:F19"/>
    <mergeCell ref="F30:F31"/>
    <mergeCell ref="F8:F9"/>
    <mergeCell ref="F26:F27"/>
    <mergeCell ref="A12:A13"/>
    <mergeCell ref="A26:A27"/>
    <mergeCell ref="E28:E29"/>
    <mergeCell ref="D4:D5"/>
    <mergeCell ref="F22:F23"/>
    <mergeCell ref="D16:D17"/>
    <mergeCell ref="A2:A3"/>
    <mergeCell ref="E6:E7"/>
    <mergeCell ref="D12:D13"/>
    <mergeCell ref="A18:A19"/>
    <mergeCell ref="E2:E3"/>
    <mergeCell ref="D28:D29"/>
    <mergeCell ref="A14:A15"/>
    <mergeCell ref="D24:D25"/>
    <mergeCell ref="E14:E15"/>
    <mergeCell ref="E30:E31"/>
    <mergeCell ref="A8:A9"/>
    <mergeCell ref="A22:A23"/>
    <mergeCell ref="D18:D19"/>
    <mergeCell ref="A4:A5"/>
    <mergeCell ref="F10:F11"/>
    <mergeCell ref="F28:F29"/>
    <mergeCell ref="D8:D9"/>
    <mergeCell ref="A20:A21"/>
    <mergeCell ref="E16:E17"/>
    <mergeCell ref="A10:A11"/>
    <mergeCell ref="D20:D21"/>
    <mergeCell ref="E26:E27"/>
    <mergeCell ref="D14:D15"/>
    <mergeCell ref="F14:F15"/>
    <mergeCell ref="D30:D31"/>
    <mergeCell ref="E24:E25"/>
    <mergeCell ref="D10:D11"/>
    <mergeCell ref="A28:A29"/>
    <mergeCell ref="E12:E13"/>
    <mergeCell ref="D26:D27"/>
    <mergeCell ref="E18:E19"/>
    <mergeCell ref="F4:F5"/>
    <mergeCell ref="E22:E23"/>
    <mergeCell ref="D6:D7"/>
    <mergeCell ref="F16:F17"/>
    <mergeCell ref="F6:F7"/>
    <mergeCell ref="F24:F25"/>
    <mergeCell ref="A30:A31"/>
    <mergeCell ref="D22:D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B22" sqref="B22"/>
    </sheetView>
  </sheetViews>
  <sheetFormatPr baseColWidth="8" defaultColWidth="8.81640625" defaultRowHeight="16"/>
  <cols>
    <col width="65.453125" customWidth="1" style="72" min="1" max="1"/>
    <col width="24.54296875" customWidth="1" style="72" min="2" max="2"/>
    <col width="18.7265625" customWidth="1" style="72" min="3" max="3"/>
    <col width="23.453125" customWidth="1" style="72" min="4" max="4"/>
    <col width="6.26953125" customWidth="1" style="72" min="5" max="5"/>
    <col width="103.81640625" customWidth="1" style="72" min="6" max="6"/>
    <col width="8.81640625" customWidth="1" style="72" min="7" max="13"/>
    <col width="8.81640625" customWidth="1" style="72" min="14" max="16384"/>
  </cols>
  <sheetData>
    <row r="1">
      <c r="A1" s="71" t="inlineStr">
        <is>
          <t>JOHN LEWIS</t>
        </is>
      </c>
    </row>
    <row r="2">
      <c r="A2" s="73" t="inlineStr">
        <is>
          <t>PRODUCT DESCRIPTION</t>
        </is>
      </c>
      <c r="B2" s="73" t="inlineStr">
        <is>
          <t>CUSTOMER NAME</t>
        </is>
      </c>
      <c r="C2" s="73" t="inlineStr">
        <is>
          <t>ORDER NUMBER</t>
        </is>
      </c>
      <c r="D2" s="73" t="inlineStr">
        <is>
          <t>PURCHASE DATE</t>
        </is>
      </c>
      <c r="E2" s="73" t="inlineStr">
        <is>
          <t>QTY</t>
        </is>
      </c>
      <c r="F2" s="73" t="inlineStr">
        <is>
          <t>COMMENTS</t>
        </is>
      </c>
    </row>
    <row r="3">
      <c r="A3" s="29" t="inlineStr">
        <is>
          <t>Heavy Duty Storage Box - 870L / Black</t>
        </is>
      </c>
      <c r="B3" s="68" t="inlineStr">
        <is>
          <t>Mrs Hunter</t>
        </is>
      </c>
      <c r="C3" s="74" t="n">
        <v>160193245</v>
      </c>
      <c r="D3" s="68" t="inlineStr">
        <is>
          <t>17/05/2026</t>
        </is>
      </c>
      <c r="E3" s="74" t="n">
        <v>1</v>
      </c>
      <c r="F3" s="75" t="inlineStr">
        <is>
          <t>Out of stock, customer happy to accept exchange for 980L Black, stock updated -1 870L Black and +1 980L Black</t>
        </is>
      </c>
    </row>
    <row r="4">
      <c r="A4" s="28" t="inlineStr">
        <is>
          <t>Heavy Duty Storage Box - 980L / Taupe</t>
        </is>
      </c>
      <c r="B4" s="68" t="inlineStr">
        <is>
          <t xml:space="preserve">Mrs Hennesy </t>
        </is>
      </c>
      <c r="C4" s="74" t="n">
        <v>160347814</v>
      </c>
      <c r="D4" s="69" t="n">
        <v>46167</v>
      </c>
      <c r="E4" s="74" t="n">
        <v>1</v>
      </c>
      <c r="F4" s="75" t="n"/>
    </row>
    <row r="5">
      <c r="A5" s="28" t="inlineStr">
        <is>
          <t>Heavy Duty Storage Box - 980L / Taupe</t>
        </is>
      </c>
      <c r="B5" s="68" t="inlineStr">
        <is>
          <t xml:space="preserve">Mrs Campbell </t>
        </is>
      </c>
      <c r="C5" s="74" t="n">
        <v>160352196</v>
      </c>
      <c r="D5" s="69" t="n">
        <v>46167</v>
      </c>
      <c r="E5" s="74" t="n">
        <v>1</v>
      </c>
      <c r="F5" s="75" t="n"/>
    </row>
    <row r="6">
      <c r="A6" s="28" t="inlineStr">
        <is>
          <t>Heavy Duty Storage Box - 980L / Taupe</t>
        </is>
      </c>
      <c r="B6" s="68" t="inlineStr">
        <is>
          <t xml:space="preserve">Mrs Radley </t>
        </is>
      </c>
      <c r="C6" s="74" t="n">
        <v>160364081</v>
      </c>
      <c r="D6" s="69" t="n">
        <v>46167</v>
      </c>
      <c r="E6" s="74" t="n">
        <v>1</v>
      </c>
      <c r="F6" s="75" t="n"/>
    </row>
    <row r="7">
      <c r="A7" s="28" t="inlineStr">
        <is>
          <t>Heavy Duty Storage Box - 980L / Taupe</t>
        </is>
      </c>
      <c r="B7" s="68" t="inlineStr">
        <is>
          <t>Mrs Millington</t>
        </is>
      </c>
      <c r="C7" s="74" t="n">
        <v>160364047</v>
      </c>
      <c r="D7" s="69" t="n">
        <v>46167</v>
      </c>
      <c r="E7" s="74" t="n">
        <v>1</v>
      </c>
      <c r="F7" s="75" t="n"/>
    </row>
    <row r="8">
      <c r="A8" s="28" t="inlineStr">
        <is>
          <t>Heavy Duty Storage Box - 980L / Taupe</t>
        </is>
      </c>
      <c r="B8" s="68" t="inlineStr">
        <is>
          <t xml:space="preserve">Mr Mintey </t>
        </is>
      </c>
      <c r="C8" s="74" t="n">
        <v>160363974</v>
      </c>
      <c r="D8" s="69" t="n">
        <v>46167</v>
      </c>
      <c r="E8" s="74" t="n">
        <v>1</v>
      </c>
      <c r="F8" s="75" t="n"/>
    </row>
    <row r="10">
      <c r="A10" s="71" t="inlineStr">
        <is>
          <t>B&amp;Q MARKETPLACE</t>
        </is>
      </c>
    </row>
    <row r="11">
      <c r="A11" s="73" t="inlineStr">
        <is>
          <t>PRODUCT DESCRIPTION</t>
        </is>
      </c>
      <c r="B11" s="73" t="inlineStr">
        <is>
          <t>CUSTOMER NAME</t>
        </is>
      </c>
      <c r="C11" s="73" t="inlineStr">
        <is>
          <t>ORDER NUMBER</t>
        </is>
      </c>
      <c r="D11" s="73" t="inlineStr">
        <is>
          <t>PURCHASE DATE</t>
        </is>
      </c>
      <c r="E11" s="73" t="inlineStr">
        <is>
          <t>QTY</t>
        </is>
      </c>
      <c r="F11" s="73" t="inlineStr">
        <is>
          <t>COMMENTS</t>
        </is>
      </c>
    </row>
    <row r="12">
      <c r="A12" s="29" t="inlineStr">
        <is>
          <t>Heavy Duty Storage Box - 870L / Black</t>
        </is>
      </c>
      <c r="B12" s="68" t="inlineStr">
        <is>
          <t>Miss Charlotte Bentley</t>
        </is>
      </c>
      <c r="C12" s="68" t="inlineStr">
        <is>
          <t>1063882487-A</t>
        </is>
      </c>
      <c r="D12" s="68" t="inlineStr">
        <is>
          <t>14/05/2026</t>
        </is>
      </c>
      <c r="E12" s="68" t="n">
        <v>2</v>
      </c>
      <c r="F12" s="75" t="inlineStr">
        <is>
          <t>Out of stock, customer asked for refund, stock updated -2 (weekly units sold 8, updated to 6)</t>
        </is>
      </c>
    </row>
    <row r="13">
      <c r="A13" s="29" t="inlineStr">
        <is>
          <t>Heavy Duty Storage Box - 870L / Black</t>
        </is>
      </c>
      <c r="B13" s="68" t="inlineStr">
        <is>
          <t>Philip Steele</t>
        </is>
      </c>
      <c r="C13" s="68" t="inlineStr">
        <is>
          <t>1063993668-A</t>
        </is>
      </c>
      <c r="D13" s="68" t="inlineStr">
        <is>
          <t>17/05/2026</t>
        </is>
      </c>
      <c r="E13" s="68" t="n">
        <v>1</v>
      </c>
      <c r="F13" s="75" t="inlineStr">
        <is>
          <t>Out of stock, customer asked for refund, stock updated -1 (weekly units sold 6, updated to 5)</t>
        </is>
      </c>
    </row>
    <row r="14">
      <c r="A14" s="29" t="inlineStr">
        <is>
          <t>Heavy Duty Storage Box - 870L / Black</t>
        </is>
      </c>
      <c r="B14" s="76" t="inlineStr">
        <is>
          <t>Balwant Samra</t>
        </is>
      </c>
      <c r="C14" s="77" t="inlineStr">
        <is>
          <t>1063877643-A</t>
        </is>
      </c>
      <c r="D14" s="68" t="inlineStr">
        <is>
          <t>14/05/2026</t>
        </is>
      </c>
      <c r="E14" s="68" t="n">
        <v>1</v>
      </c>
      <c r="F14" s="75" t="inlineStr">
        <is>
          <t>Out of stock, awaiting customer reply, offered refund or exchange</t>
        </is>
      </c>
    </row>
    <row r="15">
      <c r="A15" s="29" t="inlineStr">
        <is>
          <t>Heavy Duty Storage Box - 870L / Black</t>
        </is>
      </c>
      <c r="B15" s="76" t="inlineStr">
        <is>
          <t>Mr Andrew Gooding</t>
        </is>
      </c>
      <c r="C15" s="77" t="inlineStr">
        <is>
          <t>1063967778-A</t>
        </is>
      </c>
      <c r="D15" s="69" t="n">
        <v>46158</v>
      </c>
      <c r="E15" s="68" t="n">
        <v>1</v>
      </c>
      <c r="F15" s="75" t="inlineStr">
        <is>
          <t>Out of stock, customer happy to accept exchange for 870L Taupe, stock updated -1 870L Black and +1 870L Taupe</t>
        </is>
      </c>
    </row>
    <row r="16">
      <c r="A16" s="29" t="inlineStr">
        <is>
          <t>Heavy Duty Storage Box - 870L / Black</t>
        </is>
      </c>
      <c r="B16" s="76" t="inlineStr">
        <is>
          <t>Mr Paul Dandy</t>
        </is>
      </c>
      <c r="C16" s="77" t="inlineStr">
        <is>
          <t>1063991246-A</t>
        </is>
      </c>
      <c r="D16" s="68" t="inlineStr">
        <is>
          <t>17/05/2026</t>
        </is>
      </c>
      <c r="E16" s="68" t="n">
        <v>1</v>
      </c>
      <c r="F16" s="75" t="inlineStr">
        <is>
          <t>Out of stock, customer happy to accept exchange for 870L Taupe, stock updated -1 870L Black and +1 870L Taupe</t>
        </is>
      </c>
    </row>
    <row r="17">
      <c r="A17" s="29" t="inlineStr">
        <is>
          <t>Heavy Duty Storage Box - 870L / Black</t>
        </is>
      </c>
      <c r="B17" s="76" t="inlineStr">
        <is>
          <t>Nick Sisso</t>
        </is>
      </c>
      <c r="C17" s="77" t="inlineStr">
        <is>
          <t>1063995257-A</t>
        </is>
      </c>
      <c r="D17" s="68" t="inlineStr">
        <is>
          <t>17/05/2026</t>
        </is>
      </c>
      <c r="E17" s="68" t="n">
        <v>2</v>
      </c>
      <c r="F17" s="75" t="inlineStr">
        <is>
          <t>Out of stock, customer happy to accept exchange for 870L Taupe, stock updated -2 870L Black and +2 870L Taupe</t>
        </is>
      </c>
    </row>
    <row r="18">
      <c r="A18" s="29" t="inlineStr">
        <is>
          <t>Heavy Duty Storage Box - 870L / Black</t>
        </is>
      </c>
      <c r="B18" s="76" t="inlineStr">
        <is>
          <t>Neil Christie</t>
        </is>
      </c>
      <c r="C18" s="77" t="inlineStr">
        <is>
          <t>1064006193-A</t>
        </is>
      </c>
      <c r="D18" s="68" t="inlineStr">
        <is>
          <t>17/05/2026</t>
        </is>
      </c>
      <c r="E18" s="68" t="n">
        <v>1</v>
      </c>
      <c r="F18" s="75" t="inlineStr">
        <is>
          <t>Out of stock, customer happy to accept exchange for 870L Taupe, stock updated -1 870L Black and +1 870L Taupe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C10" sqref="C10"/>
    </sheetView>
  </sheetViews>
  <sheetFormatPr baseColWidth="8" defaultRowHeight="14.5"/>
  <cols>
    <col width="30.1796875" bestFit="1" customWidth="1" min="1" max="1"/>
    <col width="16.54296875" customWidth="1" style="48" min="2" max="2"/>
    <col width="18.26953125" customWidth="1" min="3" max="3"/>
    <col width="9.1796875" customWidth="1" min="4" max="4"/>
    <col width="20.7265625" customWidth="1" min="5" max="12"/>
    <col width="12.81640625" customWidth="1" min="13" max="13"/>
    <col width="10.7265625" customWidth="1" min="14" max="14"/>
  </cols>
  <sheetData>
    <row r="1" ht="15.65" customHeight="1">
      <c r="B1" s="36" t="inlineStr">
        <is>
          <t>Sales Forecast</t>
        </is>
      </c>
      <c r="C1" s="36" t="inlineStr">
        <is>
          <t>Buy</t>
        </is>
      </c>
      <c r="E1" s="37" t="inlineStr">
        <is>
          <t>FEBRUARY</t>
        </is>
      </c>
      <c r="F1" s="37" t="inlineStr">
        <is>
          <t>MARCH</t>
        </is>
      </c>
      <c r="G1" s="37" t="inlineStr">
        <is>
          <t>APRIL</t>
        </is>
      </c>
      <c r="H1" s="37" t="inlineStr">
        <is>
          <t>MAY</t>
        </is>
      </c>
      <c r="I1" s="37" t="inlineStr">
        <is>
          <t>JUNE</t>
        </is>
      </c>
      <c r="J1" s="37" t="inlineStr">
        <is>
          <t>JULY</t>
        </is>
      </c>
      <c r="K1" s="37" t="inlineStr">
        <is>
          <t>AUGUST</t>
        </is>
      </c>
      <c r="L1" s="37" t="inlineStr">
        <is>
          <t>SEPTEMBER</t>
        </is>
      </c>
      <c r="M1" s="38" t="inlineStr">
        <is>
          <t>TOTAL SALES</t>
        </is>
      </c>
      <c r="N1" s="38" t="inlineStr">
        <is>
          <t>% OF BUY</t>
        </is>
      </c>
    </row>
    <row r="2" ht="25.15" customFormat="1" customHeight="1" s="41">
      <c r="A2" s="39" t="inlineStr">
        <is>
          <t>3M D Hydraulic parasol with base</t>
        </is>
      </c>
      <c r="B2" s="12" t="n">
        <v>50</v>
      </c>
      <c r="C2" s="40" t="n">
        <v>100</v>
      </c>
      <c r="E2" s="12" t="n">
        <v>0</v>
      </c>
      <c r="F2" s="12" t="n">
        <v>2</v>
      </c>
      <c r="G2" s="12" t="n">
        <v>4</v>
      </c>
      <c r="H2" s="12" t="n">
        <v>10</v>
      </c>
      <c r="I2" s="12" t="n">
        <v>10</v>
      </c>
      <c r="J2" s="12" t="n">
        <v>10</v>
      </c>
      <c r="K2" s="12" t="n">
        <v>8</v>
      </c>
      <c r="L2" s="12" t="n">
        <v>2</v>
      </c>
      <c r="M2" s="12">
        <f>E2+F2+G2+H2+I2+J2+K2+L2</f>
        <v/>
      </c>
      <c r="N2" s="42">
        <f>M2/C2</f>
        <v/>
      </c>
    </row>
    <row r="3" ht="25.15" customFormat="1" customHeight="1" s="41">
      <c r="A3" s="39" t="inlineStr">
        <is>
          <t>STOR 693L</t>
        </is>
      </c>
      <c r="B3" s="12" t="n">
        <v>40</v>
      </c>
      <c r="C3" s="12" t="n">
        <v>60</v>
      </c>
      <c r="E3" s="12" t="n">
        <v>2</v>
      </c>
      <c r="F3" s="12" t="n">
        <v>4</v>
      </c>
      <c r="G3" s="12" t="n">
        <v>6</v>
      </c>
      <c r="H3" s="12" t="n">
        <v>6</v>
      </c>
      <c r="I3" s="12" t="n">
        <v>6</v>
      </c>
      <c r="J3" s="12" t="n">
        <v>6</v>
      </c>
      <c r="K3" s="12" t="n">
        <v>6</v>
      </c>
      <c r="L3" s="12" t="n">
        <v>4</v>
      </c>
      <c r="M3" s="12">
        <f>E3+F3+G3+H3+I3+J3+K3+L3</f>
        <v/>
      </c>
      <c r="N3" s="42">
        <f>M3/C3</f>
        <v/>
      </c>
    </row>
    <row r="4" ht="25.15" customFormat="1" customHeight="1" s="41">
      <c r="A4" s="39" t="inlineStr">
        <is>
          <t>STOR 1067L</t>
        </is>
      </c>
      <c r="B4" s="12" t="n">
        <v>60</v>
      </c>
      <c r="C4" s="12" t="n">
        <v>60</v>
      </c>
      <c r="E4" s="12" t="n">
        <v>3</v>
      </c>
      <c r="F4" s="12" t="n">
        <v>5</v>
      </c>
      <c r="G4" s="12" t="n">
        <v>5</v>
      </c>
      <c r="H4" s="12" t="n">
        <v>5</v>
      </c>
      <c r="I4" s="12" t="n">
        <v>8</v>
      </c>
      <c r="J4" s="12" t="n">
        <v>8</v>
      </c>
      <c r="K4" s="12" t="n">
        <v>8</v>
      </c>
      <c r="L4" s="12" t="n">
        <v>4</v>
      </c>
      <c r="M4" s="12">
        <f>E4+F4+G4+H4+I4+J4+K4+L4</f>
        <v/>
      </c>
      <c r="N4" s="42">
        <f>M4/C4</f>
        <v/>
      </c>
    </row>
    <row r="5" ht="25.15" customFormat="1" customHeight="1" s="41">
      <c r="A5" s="43" t="inlineStr">
        <is>
          <t>270L recycled box</t>
        </is>
      </c>
      <c r="B5" s="12" t="n">
        <v>150</v>
      </c>
      <c r="C5" s="12" t="n">
        <v>320</v>
      </c>
      <c r="E5" s="12" t="n">
        <v>12</v>
      </c>
      <c r="F5" s="12" t="n">
        <v>25</v>
      </c>
      <c r="G5" s="12" t="n">
        <v>32</v>
      </c>
      <c r="H5" s="12" t="n">
        <v>32</v>
      </c>
      <c r="I5" s="12" t="n">
        <v>32</v>
      </c>
      <c r="J5" s="12" t="n">
        <v>32</v>
      </c>
      <c r="K5" s="12" t="n">
        <v>20</v>
      </c>
      <c r="L5" s="12" t="n">
        <v>20</v>
      </c>
      <c r="M5" s="12">
        <f>E5+F5+G5+H5+I5+J5+K5+L5</f>
        <v/>
      </c>
      <c r="N5" s="42">
        <f>M5/C5</f>
        <v/>
      </c>
    </row>
    <row r="6" ht="25.15" customFormat="1" customHeight="1" s="41">
      <c r="A6" s="43" t="inlineStr">
        <is>
          <t>450L recycled box</t>
        </is>
      </c>
      <c r="B6" s="12" t="n">
        <v>250</v>
      </c>
      <c r="C6" s="12" t="n">
        <v>225</v>
      </c>
      <c r="E6" s="12" t="n">
        <v>10</v>
      </c>
      <c r="F6" s="12" t="n">
        <v>15</v>
      </c>
      <c r="G6" s="12" t="n">
        <v>32</v>
      </c>
      <c r="H6" s="12" t="n">
        <v>32</v>
      </c>
      <c r="I6" s="12" t="n">
        <v>32</v>
      </c>
      <c r="J6" s="12" t="n">
        <v>32</v>
      </c>
      <c r="K6" s="12" t="n">
        <v>25</v>
      </c>
      <c r="L6" s="12" t="n">
        <v>25</v>
      </c>
      <c r="M6" s="12">
        <f>E6+F6+G6+H6+I6+J6+K6+L6</f>
        <v/>
      </c>
      <c r="N6" s="42">
        <f>M6/C6</f>
        <v/>
      </c>
    </row>
    <row r="7" ht="25.15" customFormat="1" customHeight="1" s="41">
      <c r="A7" s="43" t="inlineStr">
        <is>
          <t>680L recycled box</t>
        </is>
      </c>
      <c r="B7" s="12" t="n">
        <v>200</v>
      </c>
      <c r="C7" s="12" t="n">
        <v>180</v>
      </c>
      <c r="E7" s="12" t="n">
        <v>8</v>
      </c>
      <c r="F7" s="12" t="n">
        <v>15</v>
      </c>
      <c r="G7" s="12" t="n">
        <v>15</v>
      </c>
      <c r="H7" s="12" t="n">
        <v>25</v>
      </c>
      <c r="I7" s="12" t="n">
        <v>25</v>
      </c>
      <c r="J7" s="12" t="n">
        <v>25</v>
      </c>
      <c r="K7" s="12" t="n">
        <v>20</v>
      </c>
      <c r="L7" s="12" t="n">
        <v>20</v>
      </c>
      <c r="M7" s="12">
        <f>E7+F7+G7+H7+I7+J7+K7+L7</f>
        <v/>
      </c>
      <c r="N7" s="42">
        <f>M7/C7</f>
        <v/>
      </c>
    </row>
    <row r="8" ht="25.15" customFormat="1" customHeight="1" s="41">
      <c r="A8" s="43" t="inlineStr">
        <is>
          <t>870L recycled box</t>
        </is>
      </c>
      <c r="B8" s="12" t="n">
        <v>150</v>
      </c>
      <c r="C8" s="12" t="n">
        <v>100</v>
      </c>
      <c r="E8" s="12" t="n">
        <v>4</v>
      </c>
      <c r="F8" s="12" t="n">
        <v>8</v>
      </c>
      <c r="G8" s="12" t="n">
        <v>10</v>
      </c>
      <c r="H8" s="12" t="n">
        <v>10</v>
      </c>
      <c r="I8" s="12" t="n">
        <v>10</v>
      </c>
      <c r="J8" s="12" t="n">
        <v>8</v>
      </c>
      <c r="K8" s="12" t="n">
        <v>8</v>
      </c>
      <c r="L8" s="12" t="n">
        <v>8</v>
      </c>
      <c r="M8" s="12">
        <f>E8+F8+G8+H8+I8+J8+K8+L8</f>
        <v/>
      </c>
      <c r="N8" s="42">
        <f>M8/C8</f>
        <v/>
      </c>
    </row>
    <row r="9" ht="25.15" customFormat="1" customHeight="1" s="41">
      <c r="A9" s="43" t="inlineStr">
        <is>
          <t>980L recycled box</t>
        </is>
      </c>
      <c r="B9" s="12" t="n">
        <v>100</v>
      </c>
      <c r="C9" s="12" t="n">
        <v>100</v>
      </c>
      <c r="E9" s="12" t="n">
        <v>2</v>
      </c>
      <c r="F9" s="12" t="n">
        <v>4</v>
      </c>
      <c r="G9" s="12" t="n">
        <v>8</v>
      </c>
      <c r="H9" s="12" t="n">
        <v>8</v>
      </c>
      <c r="I9" s="12" t="n">
        <v>8</v>
      </c>
      <c r="J9" s="12" t="n">
        <v>12</v>
      </c>
      <c r="K9" s="12" t="n">
        <v>12</v>
      </c>
      <c r="L9" s="12" t="n">
        <v>8</v>
      </c>
      <c r="M9" s="12">
        <f>E9+F9+G9+H9+I9+J9+K9+L9</f>
        <v/>
      </c>
      <c r="N9" s="42">
        <f>M9/C9</f>
        <v/>
      </c>
    </row>
    <row r="10" ht="25.15" customFormat="1" customHeight="1" s="41">
      <c r="A10" s="39" t="inlineStr">
        <is>
          <t>3 x 3 with sides with side walls</t>
        </is>
      </c>
      <c r="B10" s="12" t="n">
        <v>60</v>
      </c>
      <c r="C10" s="12" t="n">
        <v>100</v>
      </c>
      <c r="E10" s="12" t="n">
        <v>2</v>
      </c>
      <c r="F10" s="12" t="n">
        <v>6</v>
      </c>
      <c r="G10" s="12" t="n">
        <v>6</v>
      </c>
      <c r="H10" s="12" t="n">
        <v>8</v>
      </c>
      <c r="I10" s="12" t="n">
        <v>12</v>
      </c>
      <c r="J10" s="12" t="n">
        <v>12</v>
      </c>
      <c r="K10" s="12" t="n">
        <v>8</v>
      </c>
      <c r="L10" s="12" t="n">
        <v>4</v>
      </c>
      <c r="M10" s="12">
        <f>E10+F10+G10+H10+I10+J10+K10+L10</f>
        <v/>
      </c>
      <c r="N10" s="42">
        <f>M10/C10</f>
        <v/>
      </c>
    </row>
    <row r="11" ht="26.5" customHeight="1">
      <c r="A11" s="44" t="inlineStr">
        <is>
          <t>TOTALS</t>
        </is>
      </c>
      <c r="B11" s="45">
        <f>SUM(B2:B10)</f>
        <v/>
      </c>
      <c r="C11" s="46">
        <f>SUM(C2:C10)</f>
        <v/>
      </c>
      <c r="E11" s="91" t="inlineStr">
        <is>
          <t>HJ849-D</t>
        </is>
      </c>
      <c r="F11" s="4" t="inlineStr">
        <is>
          <t>J2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</row>
    <row r="12" ht="15" customHeight="1" thickBot="1"/>
    <row r="13" ht="15" customHeight="1" thickBot="1">
      <c r="C13" s="49" t="inlineStr">
        <is>
          <t>HJ DESPATCH</t>
        </is>
      </c>
      <c r="E13" s="50">
        <f>E2+E3+E4+E10</f>
        <v/>
      </c>
      <c r="F13" s="51">
        <f>F2+F3+F4+F10</f>
        <v/>
      </c>
      <c r="G13" s="51">
        <f>G2+G3+G4+G10</f>
        <v/>
      </c>
      <c r="H13" s="51">
        <f>H2+H3+H4+H10</f>
        <v/>
      </c>
      <c r="I13" s="51">
        <f>I2+I3+I4+I10</f>
        <v/>
      </c>
      <c r="J13" s="51">
        <f>J2+J3+J4+J10</f>
        <v/>
      </c>
      <c r="K13" s="51">
        <f>K2+K3+K4+K10</f>
        <v/>
      </c>
      <c r="L13" s="51">
        <f>L2+L3+L4+L10</f>
        <v/>
      </c>
      <c r="M13" s="52">
        <f>M2+M3+M4+M10</f>
        <v/>
      </c>
    </row>
    <row r="14" ht="15" customHeight="1" thickBot="1"/>
    <row r="15" ht="15" customHeight="1" thickBot="1">
      <c r="C15" s="49" t="inlineStr">
        <is>
          <t>AVERAGE WEEKLY</t>
        </is>
      </c>
      <c r="E15" s="50">
        <f>E13/4</f>
        <v/>
      </c>
      <c r="F15" s="51">
        <f>F13/4</f>
        <v/>
      </c>
      <c r="G15" s="51">
        <f>G13/4</f>
        <v/>
      </c>
      <c r="H15" s="51">
        <f>H13/4</f>
        <v/>
      </c>
      <c r="I15" s="51">
        <f>I13/4</f>
        <v/>
      </c>
      <c r="J15" s="51">
        <f>J13/4</f>
        <v/>
      </c>
      <c r="K15" s="51">
        <f>K13/4</f>
        <v/>
      </c>
      <c r="L15" s="52">
        <f>L13/4</f>
        <v/>
      </c>
      <c r="M15" s="48" t="n"/>
    </row>
    <row r="16" ht="15" customHeight="1" thickBot="1"/>
    <row r="17" ht="15" customHeight="1" thickBot="1">
      <c r="C17" s="53" t="inlineStr">
        <is>
          <t>KINETIC DESPATCH</t>
        </is>
      </c>
      <c r="E17" s="54">
        <f>E5+E6+E7+E8+E9</f>
        <v/>
      </c>
      <c r="F17" s="55">
        <f>F5+F6+F7+F8+F9</f>
        <v/>
      </c>
      <c r="G17" s="55">
        <f>G5+G6+G7+G8+G9</f>
        <v/>
      </c>
      <c r="H17" s="55">
        <f>H5+H6+H7+H8+H9</f>
        <v/>
      </c>
      <c r="I17" s="55">
        <f>I5+I6+I7+I8+I9</f>
        <v/>
      </c>
      <c r="J17" s="55">
        <f>J5+J6+J7+J8+J9</f>
        <v/>
      </c>
      <c r="K17" s="55">
        <f>K5+K6+K7+K8+K9</f>
        <v/>
      </c>
      <c r="L17" s="56">
        <f>L5+L6+L7+L8+L9</f>
        <v/>
      </c>
    </row>
    <row r="18" ht="15" customHeight="1" thickBot="1"/>
    <row r="19" ht="15" customHeight="1" thickBot="1">
      <c r="C19" s="53" t="inlineStr">
        <is>
          <t>AVERAGE WEEKLY</t>
        </is>
      </c>
      <c r="E19" s="54">
        <f>E17/4</f>
        <v/>
      </c>
      <c r="F19" s="55">
        <f>F17/4</f>
        <v/>
      </c>
      <c r="G19" s="55">
        <f>G17/4</f>
        <v/>
      </c>
      <c r="H19" s="55">
        <f>H17/4</f>
        <v/>
      </c>
      <c r="I19" s="55">
        <f>I17/4</f>
        <v/>
      </c>
      <c r="J19" s="55">
        <f>J17/4</f>
        <v/>
      </c>
      <c r="K19" s="55">
        <f>K17/4</f>
        <v/>
      </c>
      <c r="L19" s="56">
        <f>L17/4</f>
        <v/>
      </c>
    </row>
    <row r="21">
      <c r="E21" s="7" t="inlineStr">
        <is>
          <t>SALES EX VAT</t>
        </is>
      </c>
    </row>
    <row r="22">
      <c r="D22" s="3" t="inlineStr">
        <is>
          <t>cp</t>
        </is>
      </c>
      <c r="E22" s="85" t="inlineStr">
        <is>
          <t>FEBRUARY</t>
        </is>
      </c>
      <c r="F22" s="85" t="inlineStr">
        <is>
          <t>MARCH</t>
        </is>
      </c>
      <c r="G22" s="85" t="inlineStr">
        <is>
          <t>APRIL</t>
        </is>
      </c>
      <c r="H22" s="85" t="inlineStr">
        <is>
          <t>MAY</t>
        </is>
      </c>
      <c r="I22" s="85" t="inlineStr">
        <is>
          <t>JUNE</t>
        </is>
      </c>
      <c r="J22" s="85" t="inlineStr">
        <is>
          <t>JULY</t>
        </is>
      </c>
      <c r="K22" s="85" t="inlineStr">
        <is>
          <t>AUGUST</t>
        </is>
      </c>
      <c r="L22" s="85" t="inlineStr">
        <is>
          <t>SEPTEMBER</t>
        </is>
      </c>
    </row>
    <row r="23">
      <c r="B23" s="91" t="inlineStr">
        <is>
          <t>3M D Hydraulic parasol with base</t>
        </is>
      </c>
      <c r="C23" s="87" t="n"/>
      <c r="D23" s="48" t="n">
        <v>119.08</v>
      </c>
      <c r="E23" s="57">
        <f>$D$23*E2</f>
        <v/>
      </c>
      <c r="F23" s="57">
        <f>$D$23*F2</f>
        <v/>
      </c>
      <c r="G23" s="57">
        <f>$D$23*G2</f>
        <v/>
      </c>
      <c r="H23" s="57">
        <f>$D$23*H2</f>
        <v/>
      </c>
      <c r="I23" s="57">
        <f>$D$23*I2</f>
        <v/>
      </c>
      <c r="J23" s="57">
        <f>$D$23*J2</f>
        <v/>
      </c>
      <c r="K23" s="57">
        <f>$D$23*K2</f>
        <v/>
      </c>
      <c r="L23" s="57">
        <f>$D$23*L2</f>
        <v/>
      </c>
    </row>
    <row r="24">
      <c r="B24" s="91" t="inlineStr">
        <is>
          <t>STOR 693L</t>
        </is>
      </c>
      <c r="C24" s="87" t="n"/>
      <c r="D24" s="48" t="n">
        <v>207.38</v>
      </c>
      <c r="E24" s="57">
        <f>$D$23*E3</f>
        <v/>
      </c>
      <c r="F24" s="57">
        <f>$D$23*F3</f>
        <v/>
      </c>
      <c r="G24" s="57">
        <f>$D$23*G3</f>
        <v/>
      </c>
      <c r="H24" s="57">
        <f>$D$23*H3</f>
        <v/>
      </c>
      <c r="I24" s="57">
        <f>$D$23*I3</f>
        <v/>
      </c>
      <c r="J24" s="57">
        <f>$D$23*J3</f>
        <v/>
      </c>
      <c r="K24" s="57">
        <f>$D$23*K3</f>
        <v/>
      </c>
      <c r="L24" s="57">
        <f>$D$23*L3</f>
        <v/>
      </c>
    </row>
    <row r="25">
      <c r="B25" s="91" t="inlineStr">
        <is>
          <t>STOR 1067L</t>
        </is>
      </c>
      <c r="C25" s="87" t="n"/>
      <c r="D25" s="48" t="n">
        <v>246.95</v>
      </c>
      <c r="E25" s="57">
        <f>$D$23*E4</f>
        <v/>
      </c>
      <c r="F25" s="57">
        <f>$D$23*F4</f>
        <v/>
      </c>
      <c r="G25" s="57">
        <f>$D$23*G4</f>
        <v/>
      </c>
      <c r="H25" s="57">
        <f>$D$23*H4</f>
        <v/>
      </c>
      <c r="I25" s="57">
        <f>$D$23*I4</f>
        <v/>
      </c>
      <c r="J25" s="57">
        <f>$D$23*J4</f>
        <v/>
      </c>
      <c r="K25" s="57">
        <f>$D$23*K4</f>
        <v/>
      </c>
      <c r="L25" s="57">
        <f>$D$23*L4</f>
        <v/>
      </c>
    </row>
    <row r="26">
      <c r="B26" s="91" t="inlineStr">
        <is>
          <t>270L recycled box</t>
        </is>
      </c>
      <c r="C26" s="87" t="n"/>
      <c r="D26" s="48" t="n">
        <v>34.99</v>
      </c>
      <c r="E26" s="57">
        <f>$D$23*E5</f>
        <v/>
      </c>
      <c r="F26" s="57">
        <f>$D$23*F5</f>
        <v/>
      </c>
      <c r="G26" s="57">
        <f>$D$23*G5</f>
        <v/>
      </c>
      <c r="H26" s="57">
        <f>$D$23*H5</f>
        <v/>
      </c>
      <c r="I26" s="57">
        <f>$D$23*I5</f>
        <v/>
      </c>
      <c r="J26" s="57">
        <f>$D$23*J5</f>
        <v/>
      </c>
      <c r="K26" s="57">
        <f>$D$23*K5</f>
        <v/>
      </c>
      <c r="L26" s="57">
        <f>$D$23*L5</f>
        <v/>
      </c>
    </row>
    <row r="27">
      <c r="B27" s="91" t="inlineStr">
        <is>
          <t>450L recycled box</t>
        </is>
      </c>
      <c r="C27" s="87" t="n"/>
      <c r="D27" s="48" t="n">
        <v>61.45</v>
      </c>
      <c r="E27" s="57">
        <f>$D$23*E6</f>
        <v/>
      </c>
      <c r="F27" s="57">
        <f>$D$23*F6</f>
        <v/>
      </c>
      <c r="G27" s="57">
        <f>$D$23*G6</f>
        <v/>
      </c>
      <c r="H27" s="57">
        <f>$D$23*H6</f>
        <v/>
      </c>
      <c r="I27" s="57">
        <f>$D$23*I6</f>
        <v/>
      </c>
      <c r="J27" s="57">
        <f>$D$23*J6</f>
        <v/>
      </c>
      <c r="K27" s="57">
        <f>$D$23*K6</f>
        <v/>
      </c>
      <c r="L27" s="57">
        <f>$D$23*L6</f>
        <v/>
      </c>
    </row>
    <row r="28">
      <c r="B28" s="91" t="inlineStr">
        <is>
          <t>680L recycled box</t>
        </is>
      </c>
      <c r="C28" s="87" t="n"/>
      <c r="D28" s="48" t="n">
        <v>77.67</v>
      </c>
      <c r="E28" s="57">
        <f>$D$23*E7</f>
        <v/>
      </c>
      <c r="F28" s="57">
        <f>$D$23*F7</f>
        <v/>
      </c>
      <c r="G28" s="57">
        <f>$D$23*G7</f>
        <v/>
      </c>
      <c r="H28" s="57">
        <f>$D$23*H7</f>
        <v/>
      </c>
      <c r="I28" s="57">
        <f>$D$23*I7</f>
        <v/>
      </c>
      <c r="J28" s="57">
        <f>$D$23*J7</f>
        <v/>
      </c>
      <c r="K28" s="57">
        <f>$D$23*K7</f>
        <v/>
      </c>
      <c r="L28" s="57">
        <f>$D$23*L7</f>
        <v/>
      </c>
    </row>
    <row r="29">
      <c r="B29" s="91" t="inlineStr">
        <is>
          <t>870L recycled box</t>
        </is>
      </c>
      <c r="C29" s="87" t="n"/>
      <c r="D29" s="48" t="n">
        <v>94.47</v>
      </c>
      <c r="E29" s="57">
        <f>$D$23*E8</f>
        <v/>
      </c>
      <c r="F29" s="57">
        <f>$D$23*F8</f>
        <v/>
      </c>
      <c r="G29" s="57">
        <f>$D$23*G8</f>
        <v/>
      </c>
      <c r="H29" s="57">
        <f>$D$23*H8</f>
        <v/>
      </c>
      <c r="I29" s="57">
        <f>$D$23*I8</f>
        <v/>
      </c>
      <c r="J29" s="57">
        <f>$D$23*J8</f>
        <v/>
      </c>
      <c r="K29" s="57">
        <f>$D$23*K8</f>
        <v/>
      </c>
      <c r="L29" s="57">
        <f>$D$23*L8</f>
        <v/>
      </c>
    </row>
    <row r="30">
      <c r="B30" s="91" t="inlineStr">
        <is>
          <t>980L recycled box</t>
        </is>
      </c>
      <c r="C30" s="87" t="n"/>
      <c r="D30" s="48" t="n">
        <v>102.14</v>
      </c>
      <c r="E30" s="57">
        <f>$D$23*E9</f>
        <v/>
      </c>
      <c r="F30" s="57">
        <f>$D$23*F9</f>
        <v/>
      </c>
      <c r="G30" s="57">
        <f>$D$23*G9</f>
        <v/>
      </c>
      <c r="H30" s="57">
        <f>$D$23*H9</f>
        <v/>
      </c>
      <c r="I30" s="57">
        <f>$D$23*I9</f>
        <v/>
      </c>
      <c r="J30" s="57">
        <f>$D$23*J9</f>
        <v/>
      </c>
      <c r="K30" s="57">
        <f>$D$23*K9</f>
        <v/>
      </c>
      <c r="L30" s="57">
        <f>$D$23*L9</f>
        <v/>
      </c>
    </row>
    <row r="31">
      <c r="B31" s="91" t="inlineStr">
        <is>
          <t>3 x 3 with sides with side walls</t>
        </is>
      </c>
      <c r="C31" s="87" t="n"/>
      <c r="D31" s="48" t="n">
        <v>99.40000000000001</v>
      </c>
      <c r="E31" s="57">
        <f>$D$23*E10</f>
        <v/>
      </c>
      <c r="F31" s="57">
        <f>$D$23*F10</f>
        <v/>
      </c>
      <c r="G31" s="57">
        <f>$D$23*G10</f>
        <v/>
      </c>
      <c r="H31" s="57">
        <f>$D$23*H10</f>
        <v/>
      </c>
      <c r="I31" s="57">
        <f>$D$23*I10</f>
        <v/>
      </c>
      <c r="J31" s="57">
        <f>$D$23*J10</f>
        <v/>
      </c>
      <c r="K31" s="57">
        <f>$D$23*K10</f>
        <v/>
      </c>
      <c r="L31" s="57">
        <f>$D$23*L10</f>
        <v/>
      </c>
    </row>
    <row r="32">
      <c r="E32" s="58">
        <f>SUM(E23:E31)</f>
        <v/>
      </c>
      <c r="F32" s="58">
        <f>SUM(F23:F31)</f>
        <v/>
      </c>
      <c r="G32" s="58">
        <f>SUM(G23:G31)</f>
        <v/>
      </c>
      <c r="H32" s="58">
        <f>SUM(H23:H31)</f>
        <v/>
      </c>
      <c r="I32" s="58">
        <f>SUM(I23:I31)</f>
        <v/>
      </c>
      <c r="J32" s="58">
        <f>SUM(J23:J31)</f>
        <v/>
      </c>
      <c r="K32" s="58">
        <f>SUM(K23:K31)</f>
        <v/>
      </c>
      <c r="L32" s="58">
        <f>SUM(L23:L31)</f>
        <v/>
      </c>
    </row>
  </sheetData>
  <mergeCells count="9">
    <mergeCell ref="B30:C30"/>
    <mergeCell ref="B24:C24"/>
    <mergeCell ref="B29:C29"/>
    <mergeCell ref="B25:C25"/>
    <mergeCell ref="B28:C28"/>
    <mergeCell ref="B23:C23"/>
    <mergeCell ref="B31:C31"/>
    <mergeCell ref="B26:C26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Rebecca McKean</dc:creator>
  <dcterms:created xsi:type="dcterms:W3CDTF">2026-03-23T09:48:25Z</dcterms:created>
  <dcterms:modified xsi:type="dcterms:W3CDTF">2026-08-03T14:03:03Z</dcterms:modified>
  <cp:lastModifiedBy>Lewis Cramb</cp:lastModifiedBy>
</cp:coreProperties>
</file>